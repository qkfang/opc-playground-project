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30619cd834c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a82bd655f04352af3ec643288662d5.psmdcp" Id="Rb22f1f45512f40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Cost Model" sheetId="2" r:id="rId3"/>
    <x:sheet name="Non-Prod" sheetId="3" r:id="rId4"/>
    <x:sheet name="Prod" sheetId="4" r:id="rId5"/>
    <x:sheet name="Total" sheetId="5" r:id="rId6"/>
    <x:sheet name="Requirements" sheetId="6" r:id="rId7"/>
    <x:sheet name="Scope" sheetId="7" r:id="rId8"/>
    <x:sheet name="Documents" sheetId="8" r:id="rId9"/>
  </x:sheets>
  <x:definedNames>
    <x:definedName name="_xlnm._FilterDatabase" localSheetId="5" hidden="1">Requirements!$A$1:$E$13</x:definedName>
    <x:definedName name="Proj37_MonthlySubtotal">'Cost Model'!$I$15</x:definedName>
    <x:definedName name="Proj37_Contingency">'Cost Model'!$B$17</x:definedName>
    <x:definedName name="Proj37_MonthlyTotal">'Cost Model'!$B$18</x:definedName>
    <x:definedName name="Proj37_AnnualTotal">'Cost Model'!$B$19</x:definedName>
    <x:definedName name="Proj37_NonProdMonthly">'Non-Prod'!$I$15</x:definedName>
    <x:definedName name="Proj37_ProdMonthly">Prod!$I$15</x:definedName>
    <x:definedName name="Proj37_TotalMonthly">Total!$J$15:$J$15</x:definedName>
  </x:definedNames>
  <x:calcPr calcId="125725"/>
</x:workbook>
</file>

<file path=xl/calcChain.xml><?xml version="1.0" encoding="utf-8"?>
<x:calcChain xmlns:x="http://schemas.openxmlformats.org/spreadsheetml/2006/main">
  <x:c r="B18" i="1"/>
  <x:c r="B19" i="1"/>
  <x:c r="B20" i="1"/>
  <x:c r="B21" i="1"/>
  <x:c r="B24" i="1"/>
  <x:c r="B25" i="1"/>
  <x:c r="B26" i="1"/>
  <x:c r="I5" i="2"/>
  <x:c r="I6" i="2"/>
  <x:c r="I7" i="2"/>
  <x:c r="I8" i="2"/>
  <x:c r="I9" i="2"/>
  <x:c r="I10" i="2"/>
  <x:c r="I11" i="2"/>
  <x:c r="I12" i="2"/>
  <x:c r="I13" i="2"/>
  <x:c r="I14" i="2"/>
  <x:c r="I15" i="2"/>
  <x:c r="B17" i="2"/>
  <x:c r="B18" i="2"/>
  <x:c r="B19" i="2"/>
  <x:c r="I5" i="3"/>
  <x:c r="I6" i="3"/>
  <x:c r="I7" i="3"/>
  <x:c r="I8" i="3"/>
  <x:c r="I9" i="3"/>
  <x:c r="I10" i="3"/>
  <x:c r="I11" i="3"/>
  <x:c r="I12" i="3"/>
  <x:c r="I13" i="3"/>
  <x:c r="I14" i="3"/>
  <x:c r="I15" i="3"/>
  <x:c r="B17" i="3"/>
  <x:c r="B18" i="3"/>
  <x:c r="B19" i="3"/>
  <x:c r="I5" i="4"/>
  <x:c r="I6" i="4"/>
  <x:c r="I7" i="4"/>
  <x:c r="I8" i="4"/>
  <x:c r="I9" i="4"/>
  <x:c r="I10" i="4"/>
  <x:c r="I11" i="4"/>
  <x:c r="I12" i="4"/>
  <x:c r="I13" i="4"/>
  <x:c r="I14" i="4"/>
  <x:c r="I15" i="4"/>
  <x:c r="B17" i="4"/>
  <x:c r="B18" i="4"/>
  <x:c r="B19" i="4"/>
  <x:c r="H5" i="5"/>
  <x:c r="I5" i="5"/>
  <x:c r="J5" i="5"/>
  <x:c r="H6" i="5"/>
  <x:c r="I6" i="5"/>
  <x:c r="J6" i="5"/>
  <x:c r="H7" i="5"/>
  <x:c r="I7" i="5"/>
  <x:c r="J7" i="5"/>
  <x:c r="H8" i="5"/>
  <x:c r="I8" i="5"/>
  <x:c r="J8" i="5"/>
  <x:c r="H9" i="5"/>
  <x:c r="I9" i="5"/>
  <x:c r="J9" i="5"/>
  <x:c r="H10" i="5"/>
  <x:c r="I10" i="5"/>
  <x:c r="J10" i="5"/>
  <x:c r="H11" i="5"/>
  <x:c r="I11" i="5"/>
  <x:c r="J11" i="5"/>
  <x:c r="H12" i="5"/>
  <x:c r="I12" i="5"/>
  <x:c r="J12" i="5"/>
  <x:c r="H13" i="5"/>
  <x:c r="I13" i="5"/>
  <x:c r="J13" i="5"/>
  <x:c r="H14" i="5"/>
  <x:c r="I14" i="5"/>
  <x:c r="J14" i="5"/>
  <x:c r="H15" i="5"/>
  <x:c r="I15" i="5"/>
  <x:c r="J15" i="5"/>
  <x:c r="B17" i="5"/>
  <x:c r="B18" i="5"/>
  <x:c r="B19" i="5"/>
</x:calcChain>
</file>

<file path=xl/sharedStrings.xml><?xml version="1.0" encoding="utf-8"?>
<x:sst xmlns:x="http://schemas.openxmlformats.org/spreadsheetml/2006/main">
  <x:si>
    <x:t>Azure Cost Estimation — POC</x:t>
  </x:si>
  <x:si>
    <x:t>Generated (UTC)</x:t>
  </x:si>
  <x:si>
    <x:t>Project</x:t>
  </x:si>
  <x:si>
    <x:t>Contoso Document Intelligence Platform</x:t>
  </x:si>
  <x:si>
    <x:t>Job ID</x:t>
  </x:si>
  <x:si>
    <x:t>68c7798ba5574490856d0426c99d4cc4</x:t>
  </x:si>
  <x:si>
    <x:t>Estimation engine</x:t>
  </x:si>
  <x:si>
    <x:t>offline</x:t>
  </x:si>
  <x:si>
    <x:t>Workload profile</x:t>
  </x:si>
  <x:si>
    <x:t>web front end + API/back end + AI/LLM workload + relational data store + event/serverless processing</x:t>
  </x:si>
  <x:si>
    <x:t>Expected scale</x:t>
  </x:si>
  <x:si>
    <x:t>Large / enterprise (≈200k AI req/mo, multi-instance compute)</x:t>
  </x:si>
  <x:si>
    <x:t>Data sensitivity</x:t>
  </x:si>
  <x:si>
    <x:t>regulated (e.g. PCI/HIPAA-class) — apply strict controls</x:t>
  </x:si>
  <x:si>
    <x:t>Environment</x:t>
  </x:si>
  <x:si>
    <x:t>non-production (POC/dev)</x:t>
  </x:si>
  <x:si>
    <x:t>Region</x:t>
  </x:si>
  <x:si>
    <x:t>australiaeast</x:t>
  </x:si>
  <x:si>
    <x:t>Currency</x:t>
  </x:si>
  <x:si>
    <x:t>USD</x:t>
  </x:si>
  <x:si>
    <x:t>Documents ingested</x:t>
  </x:si>
  <x:si>
    <x:t>Technical requirements</x:t>
  </x:si>
  <x:si>
    <x:t>Cost line items</x:t>
  </x:si>
  <x:si>
    <x:t>Headline cost (reference, not a quote)</x:t>
  </x:si>
  <x:si>
    <x:t>Monthly subtotal</x:t>
  </x:si>
  <x:si>
    <x:t>Contingency (25%)</x:t>
  </x:si>
  <x:si>
    <x:t>Monthly total (incl. contingency)</x:t>
  </x:si>
  <x:si>
    <x:t>Annual total (incl. contingency)</x:t>
  </x:si>
  <x:si>
    <x:t>Cost by environment (monthly, incl. contingency)</x:t>
  </x:si>
  <x:si>
    <x:t>Non-Prod monthly</x:t>
  </x:si>
  <x:si>
    <x:t>Prod monthly</x:t>
  </x:si>
  <x:si>
    <x:t>Total monthly (Non-Prod + Prod)</x:t>
  </x:si>
  <x:si>
    <x:t>Disclaimer</x:t>
  </x:si>
  <x:si>
    <x:t>Note</x:t>
  </x:si>
  <x:si>
    <x:t>Pay-As-You-Go, list price (POC reference rates). Figures are POC reference estimates derived from supplied documents and should be validated against the Azure Pricing Calculator / Retail Prices API before any commitment.</x:t>
  </x:si>
  <x:si>
    <x:t>Azure Cost Model — editable</x:t>
  </x:si>
  <x:si>
    <x:t>Tip: edit the highlighted Quantity / Unit Price cells and totals recalculate automatically. To add a manual line item, type in the empty row directly below the last one — the table grows and the Monthly subtotal includes it (or insert a row inside the table). Do not delete the totals row.</x:t>
  </x:si>
  <x:si>
    <x:t>Category</x:t>
  </x:si>
  <x:si>
    <x:t>Service</x:t>
  </x:si>
  <x:si>
    <x:t>SKU / Tier</x:t>
  </x:si>
  <x:si>
    <x:t>Meter</x:t>
  </x:si>
  <x:si>
    <x:t>Assumption</x:t>
  </x:si>
  <x:si>
    <x:t>Quantity</x:t>
  </x:si>
  <x:si>
    <x:t>Unit Price</x:t>
  </x:si>
  <x:si>
    <x:t>Unit</x:t>
  </x:si>
  <x:si>
    <x:t>Monthly Cost</x:t>
  </x:si>
  <x:si>
    <x:t>Pricing Reference</x:t>
  </x:si>
  <x:si>
    <x:t>AI</x:t>
  </x:si>
  <x:si>
    <x:t>Azure AI Search</x:t>
  </x:si>
  <x:si>
    <x:t>Basic</x:t>
  </x:si>
  <x:si>
    <x:t>service-month</x:t>
  </x:si>
  <x:si>
    <x:t>1 search service for vector/file search</x:t>
  </x:si>
  <x:si>
    <x:t>per service/mo</x:t>
  </x:si>
  <x:si>
    <x:t>Azure AI Search pricing</x:t>
  </x:si>
  <x:si>
    <x:t>Microsoft Foundry (Azure OpenAI)</x:t>
  </x:si>
  <x:si>
    <x:t>gpt-5.4</x:t>
  </x:si>
  <x:si>
    <x:t>1K input tokens</x:t>
  </x:si>
  <x:si>
    <x:t>200,000 req/mo × 4000 input tokens</x:t>
  </x:si>
  <x:si>
    <x:t>per 1K tokens</x:t>
  </x:si>
  <x:si>
    <x:t>Azure OpenAI pricing</x:t>
  </x:si>
  <x:si>
    <x:t>1K output tokens</x:t>
  </x:si>
  <x:si>
    <x:t>200,000 req/mo × 1200 output tokens</x:t>
  </x:si>
  <x:si>
    <x:t>Compute</x:t>
  </x:si>
  <x:si>
    <x:t>Azure App Service</x:t>
  </x:si>
  <x:si>
    <x:t>P2v3</x:t>
  </x:si>
  <x:si>
    <x:t>instance-month</x:t>
  </x:si>
  <x:si>
    <x:t>3 instance(s), 730 hrs/mo</x:t>
  </x:si>
  <x:si>
    <x:t>per instance/mo</x:t>
  </x:si>
  <x:si>
    <x:t>App Service pricing</x:t>
  </x:si>
  <x:si>
    <x:t>Azure Functions</x:t>
  </x:si>
  <x:si>
    <x:t>Consumption</x:t>
  </x:si>
  <x:si>
    <x:t>million executions</x:t>
  </x:si>
  <x:si>
    <x:t>10.0M executions/mo</x:t>
  </x:si>
  <x:si>
    <x:t>per 1M exec</x:t>
  </x:si>
  <x:si>
    <x:t>Azure Functions pricing</x:t>
  </x:si>
  <x:si>
    <x:t>Data</x:t>
  </x:si>
  <x:si>
    <x:t>Azure Blob Storage</x:t>
  </x:si>
  <x:si>
    <x:t>Hot LRS</x:t>
  </x:si>
  <x:si>
    <x:t>GB-month</x:t>
  </x:si>
  <x:si>
    <x:t>500 GB documents + workbooks</x:t>
  </x:si>
  <x:si>
    <x:t>per GB/mo</x:t>
  </x:si>
  <x:si>
    <x:t>Blob Storage pricing</x:t>
  </x:si>
  <x:si>
    <x:t>Azure SQL Database</x:t>
  </x:si>
  <x:si>
    <x:t>GP Serverless 2 vCore</x:t>
  </x:si>
  <x:si>
    <x:t>vCore-month</x:t>
  </x:si>
  <x:si>
    <x:t>Auto-pause enabled; ~average 2 vCore</x:t>
  </x:si>
  <x:si>
    <x:t>per vCore/mo</x:t>
  </x:si>
  <x:si>
    <x:t>Azure SQL Database pricing</x:t>
  </x:si>
  <x:si>
    <x:t>Networking</x:t>
  </x:si>
  <x:si>
    <x:t>Bandwidth (egress)</x:t>
  </x:si>
  <x:si>
    <x:t>Standard</x:t>
  </x:si>
  <x:si>
    <x:t>GB</x:t>
  </x:si>
  <x:si>
    <x:t>500 GB outbound/mo</x:t>
  </x:si>
  <x:si>
    <x:t>per GB</x:t>
  </x:si>
  <x:si>
    <x:t>Bandwidth pricing</x:t>
  </x:si>
  <x:si>
    <x:t>Observability</x:t>
  </x:si>
  <x:si>
    <x:t>Log Analytics / App Insights</x:t>
  </x:si>
  <x:si>
    <x:t>Pay-as-you-go</x:t>
  </x:si>
  <x:si>
    <x:t>GB ingested</x:t>
  </x:si>
  <x:si>
    <x:t>50 GB telemetry/mo</x:t>
  </x:si>
  <x:si>
    <x:t>Azure Monitor pricing</x:t>
  </x:si>
  <x:si>
    <x:t>Security</x:t>
  </x:si>
  <x:si>
    <x:t>Azure Key Vault</x:t>
  </x:si>
  <x:si>
    <x:t>10K operations</x:t>
  </x:si>
  <x:si>
    <x:t>Secret reads via managed identity</x:t>
  </x:si>
  <x:si>
    <x:t>per 10K ops</x:t>
  </x:si>
  <x:si>
    <x:t>Key Vault pricing</x:t>
  </x:si>
  <x:si>
    <x:t>Notes</x:t>
  </x:si>
  <x:si>
    <x:t>• Reference list prices (Pay-As-You-Go), Australia East, USD. NOT a binding quote.</x:t>
  </x:si>
  <x:si>
    <x:t>• Replace AzurePricingCatalog with the Azure Retail Prices API for production accuracy.</x:t>
  </x:si>
  <x:si>
    <x:t>• Each line item links to its first-party Azure pricing page for audit (shown in UI and Excel).</x:t>
  </x:si>
  <x:si>
    <x:t>• Non-prod view models a scaled-down dev/test footprint of the same architecture; Total = Non-prod + Prod.</x:t>
  </x:si>
  <x:si>
    <x:t>• Estimate scale assumptions: Large / enterprise (≈200k AI req/mo, multi-instance compute).</x:t>
  </x:si>
  <x:si>
    <x:t>• How to add a line item: select the last data row, press Tab/Enter to spill into the next row, then type your Category/Service plus a Quantity and Unit Price. Monthly Cost and the Monthly subtotal update automatically.</x:t>
  </x:si>
  <x:si>
    <x:t>Non-Prod environment — monthly cost</x:t>
  </x:si>
  <x:si>
    <x:t>Scaled-down dev/test/POC footprint of the same architecture.</x:t>
  </x:si>
  <x:si>
    <x:t>Prod environment — monthly cost</x:t>
  </x:si>
  <x:si>
    <x:t>Full production sizing for the live workload.</x:t>
  </x:si>
  <x:si>
    <x:t>Total cost of ownership — Non-Prod + Prod</x:t>
  </x:si>
  <x:si>
    <x:t>Edit either quantity column; Non-Prod, Prod and Total costs recalculate automatically.</x:t>
  </x:si>
  <x:si>
    <x:t>NonProd Qty</x:t>
  </x:si>
  <x:si>
    <x:t>Prod Qty</x:t>
  </x:si>
  <x:si>
    <x:t>NonProd Cost</x:t>
  </x:si>
  <x:si>
    <x:t>Prod Cost</x:t>
  </x:si>
  <x:si>
    <x:t>Total Cost</x:t>
  </x:si>
  <x:si>
    <x:t>Total monthly (incl. contingency)</x:t>
  </x:si>
  <x:si>
    <x:t>Total annual (incl. contingency)</x:t>
  </x:si>
  <x:si>
    <x:t>ID</x:t>
  </x:si>
  <x:si>
    <x:t>Priority</x:t>
  </x:si>
  <x:si>
    <x:t>Requirement</x:t>
  </x:si>
  <x:si>
    <x:t>Rationale</x:t>
  </x:si>
  <x:si>
    <x:t>REQ-001</x:t>
  </x:si>
  <x:si>
    <x:t>Must</x:t>
  </x:si>
  <x:si>
    <x:t>Host the web tier on Azure App Service (P2v3 Linux).</x:t>
  </x:si>
  <x:si>
    <x:t>Managed PaaS hosting with autoscale, TLS, and zero-downtime deploys.</x:t>
  </x:si>
  <x:si>
    <x:t>REQ-002</x:t>
  </x:si>
  <x:si>
    <x:t>Should</x:t>
  </x:si>
  <x:si>
    <x:t>Expose application capabilities via an HTTP API (optionally as an OpenAPI tool for Foundry agents).</x:t>
  </x:si>
  <x:si>
    <x:t>Enables integration and agent tool-calling per Foundry OpenAPI pattern.</x:t>
  </x:si>
  <x:si>
    <x:t>REQ-003</x:t>
  </x:si>
  <x:si>
    <x:t>Use a Microsoft Foundry prompt agent on model deployment 'gpt-5.4' for document understanding and estimation reasoning.</x:t>
  </x:si>
  <x:si>
    <x:t>Centralised, governed model access with content safety and identity.</x:t>
  </x:si>
  <x:si>
    <x:t>REQ-004</x:t>
  </x:si>
  <x:si>
    <x:t>Apply structured outputs (JSON schema) for scope, requirements, and cost so results are machine-validated.</x:t>
  </x:si>
  <x:si>
    <x:t>Deterministic, parseable agent output for downstream Excel generation.</x:t>
  </x:si>
  <x:si>
    <x:t>REQ-005</x:t>
  </x:si>
  <x:si>
    <x:t>Ingest uploaded documents into a Foundry vector store and enable the file search tool for grounding.</x:t>
  </x:si>
  <x:si>
    <x:t>Grounds answers in customer documents and reduces hallucination.</x:t>
  </x:si>
  <x:si>
    <x:t>REQ-006</x:t>
  </x:si>
  <x:si>
    <x:t>Provision Azure SQL Database (General Purpose serverless) for transactional data.</x:t>
  </x:si>
  <x:si>
    <x:t>Relational integrity with cost-efficient auto-pause for POC workloads.</x:t>
  </x:si>
  <x:si>
    <x:t>REQ-007</x:t>
  </x:si>
  <x:si>
    <x:t>Could</x:t>
  </x:si>
  <x:si>
    <x:t>Implement asynchronous/background work as Azure Functions (Consumption plan).</x:t>
  </x:si>
  <x:si>
    <x:t>Event-driven scaling and pay-per-execution for spiky workloads.</x:t>
  </x:si>
  <x:si>
    <x:t>REQ-008</x:t>
  </x:si>
  <x:si>
    <x:t>Store uploaded documents and generated Excel workbooks in Azure Blob Storage (private, no public access).</x:t>
  </x:si>
  <x:si>
    <x:t>Durable artefact storage with managed-identity access.</x:t>
  </x:si>
  <x:si>
    <x:t>REQ-009</x:t>
  </x:si>
  <x:si>
    <x:t>Use system-assigned managed identity and Azure Key Vault for all secrets; disable local/key auth where supported.</x:t>
  </x:si>
  <x:si>
    <x:t>Eliminates secrets in config and enforces keyless, least-privilege access.</x:t>
  </x:si>
  <x:si>
    <x:t>REQ-010</x:t>
  </x:si>
  <x:si>
    <x:t>Enforce HTTPS-only and platform-managed TLS; restrict storage to private access.</x:t>
  </x:si>
  <x:si>
    <x:t>Baseline transport security and data exposure reduction.</x:t>
  </x:si>
  <x:si>
    <x:t>REQ-011</x:t>
  </x:si>
  <x:si>
    <x:t>Wire Application Insights + Log Analytics for traces, metrics, and agent run telemetry.</x:t>
  </x:si>
  <x:si>
    <x:t>End-to-end diagnostics and cost/usage visibility.</x:t>
  </x:si>
  <x:si>
    <x:t>REQ-012</x:t>
  </x:si>
  <x:si>
    <x:t>Classify data as 'regulated (e.g. PCI/HIPAA-class) — apply strict controls' and apply matching access controls and retention.</x:t>
  </x:si>
  <x:si>
    <x:t>Compliance alignment proportional to data sensitivity.</x:t>
  </x:si>
  <x:si>
    <x:t>Scope Summary</x:t>
  </x:si>
  <x:si>
    <x:t>Overview</x:t>
  </x:si>
  <x:si>
    <x:t>Based on the supplied technical documentation, the solution is a web front end, API/back end, AI/LLM workload, relational data store, event/serverless processing. It applies generative-AI document understanding to extract scope and drive automated estimation. Persistent storage is required for application and/or reference data.</x:t>
  </x:si>
  <x:si>
    <x:t>Business goal</x:t>
  </x:si>
  <x:si>
    <x:t>Deliver an AI-assisted capability that automates document understanding and decisioning.</x:t>
  </x:si>
  <x:si>
    <x:t>In scope</x:t>
  </x:si>
  <x:si>
    <x:t>• Hosted web application (Azure App Service)</x:t>
  </x:si>
  <x:si>
    <x:t>• HTTP API surface for integration</x:t>
  </x:si>
  <x:si>
    <x:t>• Foundry prompt agent for document understanding and reasoning</x:t>
  </x:si>
  <x:si>
    <x:t>• Document ingestion with vector/file search grounding</x:t>
  </x:si>
  <x:si>
    <x:t>• Relational database (Azure SQL)</x:t>
  </x:si>
  <x:si>
    <x:t>• Serverless background processing (Azure Functions)</x:t>
  </x:si>
  <x:si>
    <x:t>• Blob storage for uploads and generated artefacts</x:t>
  </x:si>
  <x:si>
    <x:t>• Centralised observability (Application Insights + Log Analytics)</x:t>
  </x:si>
  <x:si>
    <x:t>• Secrets management (Azure Key Vault) and managed identity</x:t>
  </x:si>
  <x:si>
    <x:t>Out of scope</x:t>
  </x:si>
  <x:si>
    <x:t>• Net-new custom model training (uses pre-built/Foundry models)</x:t>
  </x:si>
  <x:si>
    <x:t>• On-premises integration beyond documented connectors</x:t>
  </x:si>
  <x:si>
    <x:t>• 24x7 managed operations (assumes platform-managed SLAs)</x:t>
  </x:si>
  <x:si>
    <x:t>Assumptions</x:t>
  </x:si>
  <x:si>
    <x:t>• Primary region is australiaeast; single-region deployment for the POC.</x:t>
  </x:si>
  <x:si>
    <x:t>• Pay-As-You-Go list pricing; no Reserved Instances or savings plans applied.</x:t>
  </x:si>
  <x:si>
    <x:t>• Reference rates are POC approximations, not a binding quote.</x:t>
  </x:si>
  <x:si>
    <x:t>• 25% contingency applied to absorb estimation uncertainty.</x:t>
  </x:si>
  <x:si>
    <x:t>File</x:t>
  </x:si>
  <x:si>
    <x:t>Content Type</x:t>
  </x:si>
  <x:si>
    <x:t>Size (bytes)</x:t>
  </x:si>
  <x:si>
    <x:t>Words</x:t>
  </x:si>
  <x:si>
    <x:t>Characters</x:t>
  </x:si>
  <x:si>
    <x:t>Excerpt</x:t>
  </x:si>
  <x:si>
    <x:t>01-contoso-document-intelligence-platform.md</x:t>
  </x:si>
  <x:si>
    <x:t>text/markdown</x:t>
  </x:si>
  <x:si>
    <x:t># Project: Contoso Document Intelligence Platform  ## Statement of Work (Technical Brief)  ### Business context Contoso Corporate Services receives thousands of inbound business documents (PDFs, scanned forms, emails) every day across procurement, HR, and facilities. The business…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</x:si>
</x:sst>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yyyy-mm-dd hh:mm"/>
    <x:numFmt numFmtId="165" formatCode="&quot;$&quot;#,##0.00"/>
    <x:numFmt numFmtId="166" formatCode="#,##0.######"/>
    <x:numFmt numFmtId="167" formatCode="&quot;$&quot;#,##0.0000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i/>
      <x:vertAlign val="baseline"/>
      <x:sz val="11"/>
      <x:color rgb="FF444444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u val="single"/>
      <x:vertAlign val="baseline"/>
      <x:sz val="11"/>
      <x:color rgb="FF1A73E8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B5394"/>
      </x:patternFill>
    </x:fill>
    <x:fill>
      <x:patternFill patternType="solid">
        <x:fgColor rgb="FFFFF2CC"/>
      </x:patternFill>
    </x:fill>
    <x:fill>
      <x:patternFill patternType="solid">
        <x:fgColor rgb="FFE8F0FE"/>
      </x:patternFill>
    </x:fill>
    <x:fill>
      <x:patternFill patternType="solid">
        <x:fgColor rgb="FFFFFDE7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A800"/>
      </x:left>
      <x:right style="thin">
        <x:color rgb="FFE0A800"/>
      </x:right>
      <x:top style="thin">
        <x:color rgb="FFE0A8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A800"/>
      </x:left>
      <x:right style="thin">
        <x:color rgb="FFE0A8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A800"/>
      </x:left>
      <x:right style="thin">
        <x:color rgb="FFE0A800"/>
      </x:right>
      <x:top style="none">
        <x:color rgb="FF000000"/>
      </x:top>
      <x:bottom style="thin">
        <x:color rgb="FFE0A8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165" fontId="0" fillId="3" borderId="0" applyNumberFormat="1" applyFill="0" applyBorder="0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6" fontId="0" fillId="5" borderId="1" applyNumberFormat="1" applyFill="0" applyBorder="1" applyAlignment="1" applyProtection="1">
      <x:protection locked="1" hidden="0"/>
    </x:xf>
    <x:xf numFmtId="167" fontId="0" fillId="5" borderId="1" applyNumberFormat="1" applyFill="0" applyBorder="1" applyAlignment="1" applyProtection="1">
      <x:protection locked="1" hidden="0"/>
    </x:xf>
    <x:xf numFmtId="165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6" fontId="0" fillId="5" borderId="2" applyNumberFormat="1" applyFill="0" applyBorder="1" applyAlignment="1" applyProtection="1">
      <x:protection locked="1" hidden="0"/>
    </x:xf>
    <x:xf numFmtId="167" fontId="0" fillId="5" borderId="2" applyNumberFormat="1" applyFill="0" applyBorder="1" applyAlignment="1" applyProtection="1">
      <x:protection locked="1" hidden="0"/>
    </x:xf>
    <x:xf numFmtId="166" fontId="0" fillId="5" borderId="3" applyNumberFormat="1" applyFill="0" applyBorder="1" applyAlignment="1" applyProtection="1">
      <x:protection locked="1" hidden="0"/>
    </x:xf>
    <x:xf numFmtId="167" fontId="0" fillId="5" borderId="3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i/>
      </x:font>
      <x:numFmt numFmtId="164" formatCode="&quot;$&quot;#,##0.00"/>
    </x:dxf>
    <x:dxf>
      <x:font>
        <x:u val="single"/>
        <x:color rgb="FF1A73E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0" /><Relationship Type="http://schemas.openxmlformats.org/officeDocument/2006/relationships/styles" Target="/xl/styles.xml" Id="rId11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calcChain" Target="/xl/calcChain.xml" Id="rId56" /><Relationship Type="http://schemas.openxmlformats.org/officeDocument/2006/relationships/theme" Target="/xl/theme/theme1.xml" Id="rId57" /></Relationships>
</file>

<file path=xl/tables/table1.xml><?xml version="1.0" encoding="utf-8"?>
<x:table xmlns:x="http://schemas.openxmlformats.org/spreadsheetml/2006/main" id="1" name="CostModel" displayName="CostModel" ref="A4:J15" totalsRowCount="1">
  <x:autoFilter ref="A4:J14"/>
  <x:tableColumns count="10">
    <x:tableColumn id="1" name="Category" totalsRowLabel="Monthly subtotal"/>
    <x:tableColumn id="2" name="Service"/>
    <x:tableColumn id="3" name="SKU / Tier"/>
    <x:tableColumn id="4" name="Meter"/>
    <x:tableColumn id="5" name="Assumption"/>
    <x:tableColumn id="6" name="Quantity"/>
    <x:tableColumn id="7" name="Unit Price"/>
    <x:tableColumn id="8" name="Unit"/>
    <x:tableColumn id="9" name="Monthly Cost" totalsRowFunction="sum" dataDxfId="0">
      <x:calculatedColumnFormula>[@Quantity]*[@[Unit Price]]</x:calculatedColumnFormula>
    </x:tableColumn>
    <x:tableColumn id="10" name="Pricing Reference" dataDxfId="1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NonProdCost" displayName="NonProdCost" ref="A4:J15" totalsRowCount="1">
  <x:autoFilter ref="A4:J14"/>
  <x:tableColumns count="10">
    <x:tableColumn id="1" name="Category" totalsRowLabel="Monthly subtotal"/>
    <x:tableColumn id="2" name="Service"/>
    <x:tableColumn id="3" name="SKU / Tier"/>
    <x:tableColumn id="4" name="Meter"/>
    <x:tableColumn id="5" name="Assumption"/>
    <x:tableColumn id="6" name="Quantity"/>
    <x:tableColumn id="7" name="Unit Price"/>
    <x:tableColumn id="8" name="Unit"/>
    <x:tableColumn id="9" name="Monthly Cost" totalsRowFunction="sum" dataDxfId="0">
      <x:calculatedColumnFormula>[@Quantity]*[@[Unit Price]]</x:calculatedColumnFormula>
    </x:tableColumn>
    <x:tableColumn id="10" name="Pricing Reference" dataDxfId="1"/>
  </x:tableColumns>
  <x:tableStyleInfo name="TableStyleLight11" showFirstColumn="0" showLastColumn="0" showRowStripes="1" showColumnStripes="0"/>
</x:table>
</file>

<file path=xl/tables/table3.xml><?xml version="1.0" encoding="utf-8"?>
<x:table xmlns:x="http://schemas.openxmlformats.org/spreadsheetml/2006/main" id="3" name="ProdCost" displayName="ProdCost" ref="A4:J15" totalsRowCount="1">
  <x:autoFilter ref="A4:J14"/>
  <x:tableColumns count="10">
    <x:tableColumn id="1" name="Category" totalsRowLabel="Monthly subtotal"/>
    <x:tableColumn id="2" name="Service"/>
    <x:tableColumn id="3" name="SKU / Tier"/>
    <x:tableColumn id="4" name="Meter"/>
    <x:tableColumn id="5" name="Assumption"/>
    <x:tableColumn id="6" name="Quantity"/>
    <x:tableColumn id="7" name="Unit Price"/>
    <x:tableColumn id="8" name="Unit"/>
    <x:tableColumn id="9" name="Monthly Cost" totalsRowFunction="sum" dataDxfId="0">
      <x:calculatedColumnFormula>[@Quantity]*[@[Unit Price]]</x:calculatedColumnFormula>
    </x:tableColumn>
    <x:tableColumn id="10" name="Pricing Reference" dataDxfId="1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otalCost" displayName="TotalCost" ref="A4:K15" totalsRowCount="1">
  <x:autoFilter ref="A4:K14"/>
  <x:tableColumns count="11">
    <x:tableColumn id="1" name="Category" totalsRowLabel="Monthly subtotal"/>
    <x:tableColumn id="2" name="Service"/>
    <x:tableColumn id="3" name="SKU / Tier"/>
    <x:tableColumn id="4" name="Unit Price"/>
    <x:tableColumn id="5" name="Unit"/>
    <x:tableColumn id="6" name="NonProd Qty"/>
    <x:tableColumn id="7" name="Prod Qty"/>
    <x:tableColumn id="8" name="NonProd Cost" totalsRowFunction="sum" dataDxfId="0">
      <x:calculatedColumnFormula>[@[NonProd Qty]]*[@[Unit Price]]</x:calculatedColumnFormula>
    </x:tableColumn>
    <x:tableColumn id="9" name="Prod Cost" totalsRowFunction="sum" dataDxfId="0">
      <x:calculatedColumnFormula>[@[Prod Qty]]*[@[Unit Price]]</x:calculatedColumnFormula>
    </x:tableColumn>
    <x:tableColumn id="10" name="Total Cost" totalsRowFunction="sum" dataDxfId="0">
      <x:calculatedColumnFormula>[@[NonProd Cost]]+[@[Prod Cost]]</x:calculatedColumnFormula>
    </x:tableColumn>
    <x:tableColumn id="11" name="Pricing Reference" dataDxfId="1"/>
  </x:tableColumns>
  <x:tableStyleInfo name="TableStyleLight10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2" /><Relationship Type="http://schemas.openxmlformats.org/officeDocument/2006/relationships/hyperlink" Target="https://azure.microsoft.com/pricing/details/search/" TargetMode="External" Id="rId13" /><Relationship Type="http://schemas.openxmlformats.org/officeDocument/2006/relationships/hyperlink" Target="https://azure.microsoft.com/pricing/details/cognitive-services/openai-service/" TargetMode="External" Id="rId14" /><Relationship Type="http://schemas.openxmlformats.org/officeDocument/2006/relationships/hyperlink" Target="https://azure.microsoft.com/pricing/details/cognitive-services/openai-service/" TargetMode="External" Id="rId15" /><Relationship Type="http://schemas.openxmlformats.org/officeDocument/2006/relationships/hyperlink" Target="https://azure.microsoft.com/pricing/details/app-service/linux/" TargetMode="External" Id="rId16" /><Relationship Type="http://schemas.openxmlformats.org/officeDocument/2006/relationships/hyperlink" Target="https://azure.microsoft.com/pricing/details/functions/" TargetMode="External" Id="rId17" /><Relationship Type="http://schemas.openxmlformats.org/officeDocument/2006/relationships/hyperlink" Target="https://azure.microsoft.com/pricing/details/storage/blobs/" TargetMode="External" Id="rId18" /><Relationship Type="http://schemas.openxmlformats.org/officeDocument/2006/relationships/hyperlink" Target="https://azure.microsoft.com/pricing/details/azure-sql-database/single/" TargetMode="External" Id="rId19" /><Relationship Type="http://schemas.openxmlformats.org/officeDocument/2006/relationships/hyperlink" Target="https://azure.microsoft.com/pricing/details/bandwidth/" TargetMode="External" Id="rId20" /><Relationship Type="http://schemas.openxmlformats.org/officeDocument/2006/relationships/hyperlink" Target="https://azure.microsoft.com/pricing/details/monitor/" TargetMode="External" Id="rId21" /><Relationship Type="http://schemas.openxmlformats.org/officeDocument/2006/relationships/hyperlink" Target="https://azure.microsoft.com/pricing/details/key-vault/" TargetMode="External" Id="rId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Id23" /><Relationship Type="http://schemas.openxmlformats.org/officeDocument/2006/relationships/hyperlink" Target="https://azure.microsoft.com/pricing/details/search/" TargetMode="External" Id="rId24" /><Relationship Type="http://schemas.openxmlformats.org/officeDocument/2006/relationships/hyperlink" Target="https://azure.microsoft.com/pricing/details/cognitive-services/openai-service/" TargetMode="External" Id="rId25" /><Relationship Type="http://schemas.openxmlformats.org/officeDocument/2006/relationships/hyperlink" Target="https://azure.microsoft.com/pricing/details/cognitive-services/openai-service/" TargetMode="External" Id="rId26" /><Relationship Type="http://schemas.openxmlformats.org/officeDocument/2006/relationships/hyperlink" Target="https://azure.microsoft.com/pricing/details/app-service/linux/" TargetMode="External" Id="rId27" /><Relationship Type="http://schemas.openxmlformats.org/officeDocument/2006/relationships/hyperlink" Target="https://azure.microsoft.com/pricing/details/functions/" TargetMode="External" Id="rId28" /><Relationship Type="http://schemas.openxmlformats.org/officeDocument/2006/relationships/hyperlink" Target="https://azure.microsoft.com/pricing/details/storage/blobs/" TargetMode="External" Id="rId29" /><Relationship Type="http://schemas.openxmlformats.org/officeDocument/2006/relationships/hyperlink" Target="https://azure.microsoft.com/pricing/details/azure-sql-database/single/" TargetMode="External" Id="rId30" /><Relationship Type="http://schemas.openxmlformats.org/officeDocument/2006/relationships/hyperlink" Target="https://azure.microsoft.com/pricing/details/bandwidth/" TargetMode="External" Id="rId31" /><Relationship Type="http://schemas.openxmlformats.org/officeDocument/2006/relationships/hyperlink" Target="https://azure.microsoft.com/pricing/details/monitor/" TargetMode="External" Id="rId32" /><Relationship Type="http://schemas.openxmlformats.org/officeDocument/2006/relationships/hyperlink" Target="https://azure.microsoft.com/pricing/details/key-vault/" TargetMode="External" Id="rId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Id34" /><Relationship Type="http://schemas.openxmlformats.org/officeDocument/2006/relationships/hyperlink" Target="https://azure.microsoft.com/pricing/details/search/" TargetMode="External" Id="rId35" /><Relationship Type="http://schemas.openxmlformats.org/officeDocument/2006/relationships/hyperlink" Target="https://azure.microsoft.com/pricing/details/cognitive-services/openai-service/" TargetMode="External" Id="rId36" /><Relationship Type="http://schemas.openxmlformats.org/officeDocument/2006/relationships/hyperlink" Target="https://azure.microsoft.com/pricing/details/cognitive-services/openai-service/" TargetMode="External" Id="rId37" /><Relationship Type="http://schemas.openxmlformats.org/officeDocument/2006/relationships/hyperlink" Target="https://azure.microsoft.com/pricing/details/app-service/linux/" TargetMode="External" Id="rId38" /><Relationship Type="http://schemas.openxmlformats.org/officeDocument/2006/relationships/hyperlink" Target="https://azure.microsoft.com/pricing/details/functions/" TargetMode="External" Id="rId39" /><Relationship Type="http://schemas.openxmlformats.org/officeDocument/2006/relationships/hyperlink" Target="https://azure.microsoft.com/pricing/details/storage/blobs/" TargetMode="External" Id="rId40" /><Relationship Type="http://schemas.openxmlformats.org/officeDocument/2006/relationships/hyperlink" Target="https://azure.microsoft.com/pricing/details/azure-sql-database/single/" TargetMode="External" Id="rId41" /><Relationship Type="http://schemas.openxmlformats.org/officeDocument/2006/relationships/hyperlink" Target="https://azure.microsoft.com/pricing/details/bandwidth/" TargetMode="External" Id="rId42" /><Relationship Type="http://schemas.openxmlformats.org/officeDocument/2006/relationships/hyperlink" Target="https://azure.microsoft.com/pricing/details/monitor/" TargetMode="External" Id="rId43" /><Relationship Type="http://schemas.openxmlformats.org/officeDocument/2006/relationships/hyperlink" Target="https://azure.microsoft.com/pricing/details/key-vault/" TargetMode="External" Id="rId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Id45" /><Relationship Type="http://schemas.openxmlformats.org/officeDocument/2006/relationships/hyperlink" Target="https://azure.microsoft.com/pricing/details/search/" TargetMode="External" Id="rId46" /><Relationship Type="http://schemas.openxmlformats.org/officeDocument/2006/relationships/hyperlink" Target="https://azure.microsoft.com/pricing/details/cognitive-services/openai-service/" TargetMode="External" Id="rId47" /><Relationship Type="http://schemas.openxmlformats.org/officeDocument/2006/relationships/hyperlink" Target="https://azure.microsoft.com/pricing/details/cognitive-services/openai-service/" TargetMode="External" Id="rId48" /><Relationship Type="http://schemas.openxmlformats.org/officeDocument/2006/relationships/hyperlink" Target="https://azure.microsoft.com/pricing/details/app-service/linux/" TargetMode="External" Id="rId49" /><Relationship Type="http://schemas.openxmlformats.org/officeDocument/2006/relationships/hyperlink" Target="https://azure.microsoft.com/pricing/details/functions/" TargetMode="External" Id="rId50" /><Relationship Type="http://schemas.openxmlformats.org/officeDocument/2006/relationships/hyperlink" Target="https://azure.microsoft.com/pricing/details/storage/blobs/" TargetMode="External" Id="rId51" /><Relationship Type="http://schemas.openxmlformats.org/officeDocument/2006/relationships/hyperlink" Target="https://azure.microsoft.com/pricing/details/azure-sql-database/single/" TargetMode="External" Id="rId52" /><Relationship Type="http://schemas.openxmlformats.org/officeDocument/2006/relationships/hyperlink" Target="https://azure.microsoft.com/pricing/details/bandwidth/" TargetMode="External" Id="rId53" /><Relationship Type="http://schemas.openxmlformats.org/officeDocument/2006/relationships/hyperlink" Target="https://azure.microsoft.com/pricing/details/monitor/" TargetMode="External" Id="rId54" /><Relationship Type="http://schemas.openxmlformats.org/officeDocument/2006/relationships/hyperlink" Target="https://azure.microsoft.com/pricing/details/key-vault/" TargetMode="External" Id="rId5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9"/>
  <x:sheetViews>
    <x:sheetView workbookViewId="0"/>
  </x:sheetViews>
  <x:sheetFormatPr defaultRowHeight="15"/>
  <x:cols>
    <x:col min="1" max="1" width="28.710625" style="0" customWidth="1"/>
    <x:col min="2" max="2" width="60.710625" style="0" customWidth="1"/>
  </x:cols>
  <x:sheetData>
    <x:row r="1" spans="1:2" ht="26" customHeight="1">
      <x:c r="A1" s="1" t="s">
        <x:v>0</x:v>
      </x:c>
      <x:c r="B1" s="2"/>
    </x:row>
    <x:row r="2" spans="1:2">
      <x:c r="A2" s="0" t="s">
        <x:v>1</x:v>
      </x:c>
      <x:c r="B2" s="3">
        <x:v>46194.0680423958</x:v>
      </x:c>
    </x:row>
    <x:row r="4" spans="1:2">
      <x:c r="A4" s="4" t="s">
        <x:v>2</x:v>
      </x:c>
      <x:c r="B4" s="0" t="s">
        <x:v>3</x:v>
      </x:c>
    </x:row>
    <x:row r="5" spans="1:2">
      <x:c r="A5" s="4" t="s">
        <x:v>4</x:v>
      </x:c>
      <x:c r="B5" s="0" t="s">
        <x:v>5</x:v>
      </x:c>
    </x:row>
    <x:row r="6" spans="1:2">
      <x:c r="A6" s="4" t="s">
        <x:v>6</x:v>
      </x:c>
      <x:c r="B6" s="0" t="s">
        <x:v>7</x:v>
      </x:c>
    </x:row>
    <x:row r="7" spans="1:2">
      <x:c r="A7" s="4" t="s">
        <x:v>8</x:v>
      </x:c>
      <x:c r="B7" s="0" t="s">
        <x:v>9</x:v>
      </x:c>
    </x:row>
    <x:row r="8" spans="1:2">
      <x:c r="A8" s="4" t="s">
        <x:v>10</x:v>
      </x:c>
      <x:c r="B8" s="0" t="s">
        <x:v>11</x:v>
      </x:c>
    </x:row>
    <x:row r="9" spans="1:2">
      <x:c r="A9" s="4" t="s">
        <x:v>12</x:v>
      </x:c>
      <x:c r="B9" s="0" t="s">
        <x:v>13</x:v>
      </x:c>
    </x:row>
    <x:row r="10" spans="1:2">
      <x:c r="A10" s="4" t="s">
        <x:v>14</x:v>
      </x:c>
      <x:c r="B10" s="0" t="s">
        <x:v>15</x:v>
      </x:c>
    </x:row>
    <x:row r="11" spans="1:2">
      <x:c r="A11" s="4" t="s">
        <x:v>16</x:v>
      </x:c>
      <x:c r="B11" s="0" t="s">
        <x:v>17</x:v>
      </x:c>
    </x:row>
    <x:row r="12" spans="1:2">
      <x:c r="A12" s="4" t="s">
        <x:v>18</x:v>
      </x:c>
      <x:c r="B12" s="0" t="s">
        <x:v>19</x:v>
      </x:c>
    </x:row>
    <x:row r="13" spans="1:2">
      <x:c r="A13" s="4" t="s">
        <x:v>20</x:v>
      </x:c>
      <x:c r="B13" s="0">
        <x:v>1</x:v>
      </x:c>
    </x:row>
    <x:row r="14" spans="1:2">
      <x:c r="A14" s="4" t="s">
        <x:v>21</x:v>
      </x:c>
      <x:c r="B14" s="0">
        <x:v>12</x:v>
      </x:c>
    </x:row>
    <x:row r="15" spans="1:2">
      <x:c r="A15" s="4" t="s">
        <x:v>22</x:v>
      </x:c>
      <x:c r="B15" s="0">
        <x:v>10</x:v>
      </x:c>
    </x:row>
    <x:row r="17" spans="1:2">
      <x:c r="A17" s="5" t="s">
        <x:v>23</x:v>
      </x:c>
      <x:c r="B17" s="6"/>
    </x:row>
    <x:row r="18" spans="1:2">
      <x:c r="A18" s="4" t="s">
        <x:v>24</x:v>
      </x:c>
      <x:c r="B18" s="7">
        <x:f>Proj37_MonthlySubtotal</x:f>
      </x:c>
    </x:row>
    <x:row r="19" spans="1:2">
      <x:c r="A19" s="4" t="s">
        <x:v>25</x:v>
      </x:c>
      <x:c r="B19" s="7">
        <x:f>Proj37_Contingency</x:f>
      </x:c>
    </x:row>
    <x:row r="20" spans="1:2">
      <x:c r="A20" s="8" t="s">
        <x:v>26</x:v>
      </x:c>
      <x:c r="B20" s="9">
        <x:f>Proj37_MonthlyTotal</x:f>
      </x:c>
    </x:row>
    <x:row r="21" spans="1:2">
      <x:c r="A21" s="8" t="s">
        <x:v>27</x:v>
      </x:c>
      <x:c r="B21" s="9">
        <x:f>Proj37_AnnualTotal</x:f>
      </x:c>
    </x:row>
    <x:row r="23" spans="1:2">
      <x:c r="A23" s="5" t="s">
        <x:v>28</x:v>
      </x:c>
      <x:c r="B23" s="6"/>
    </x:row>
    <x:row r="24" spans="1:2">
      <x:c r="A24" s="4" t="s">
        <x:v>29</x:v>
      </x:c>
      <x:c r="B24" s="7">
        <x:f>Proj37_NonProdMonthly*1.25</x:f>
      </x:c>
    </x:row>
    <x:row r="25" spans="1:2">
      <x:c r="A25" s="4" t="s">
        <x:v>30</x:v>
      </x:c>
      <x:c r="B25" s="7">
        <x:f>Proj37_ProdMonthly*1.25</x:f>
      </x:c>
    </x:row>
    <x:row r="26" spans="1:2">
      <x:c r="A26" s="8" t="s">
        <x:v>31</x:v>
      </x:c>
      <x:c r="B26" s="9">
        <x:f>Proj37_TotalMonthly*1.25</x:f>
      </x:c>
    </x:row>
    <x:row r="28" spans="1:2">
      <x:c r="A28" s="5" t="s">
        <x:v>32</x:v>
      </x:c>
      <x:c r="B28" s="6"/>
    </x:row>
    <x:row r="29" spans="1:2" ht="60" customHeight="1">
      <x:c r="A29" s="4" t="s">
        <x:v>33</x:v>
      </x:c>
      <x:c r="B29" s="10" t="s">
        <x:v>34</x:v>
      </x:c>
    </x:row>
  </x:sheetData>
  <x:mergeCells count="4">
    <x:mergeCell ref="A1:B1"/>
    <x:mergeCell ref="A17:B17"/>
    <x:mergeCell ref="A23:B23"/>
    <x:mergeCell ref="A28:B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7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6.710625" style="0" customWidth="1"/>
    <x:col min="2" max="2" width="22.710625" style="0" customWidth="1"/>
    <x:col min="3" max="3" width="14.710625" style="0" customWidth="1"/>
    <x:col min="4" max="4" width="16.710625" style="0" customWidth="1"/>
    <x:col min="5" max="5" width="45.710625" style="0" customWidth="1"/>
    <x:col min="6" max="6" width="12.710625" style="0" customWidth="1"/>
    <x:col min="7" max="7" width="14.710625" style="0" customWidth="1"/>
    <x:col min="8" max="9" width="16.710625" style="0" customWidth="1"/>
    <x:col min="10" max="10" width="22.710625" style="0" customWidth="1"/>
  </x:cols>
  <x:sheetData>
    <x:row r="1" spans="1:10" ht="26" customHeight="1">
      <x:c r="A1" s="1" t="s">
        <x:v>35</x:v>
      </x:c>
      <x:c r="B1" s="2"/>
      <x:c r="C1" s="2"/>
      <x:c r="D1" s="2"/>
      <x:c r="E1" s="2"/>
      <x:c r="F1" s="2"/>
      <x:c r="G1" s="2"/>
      <x:c r="H1" s="2"/>
      <x:c r="I1" s="2"/>
    </x:row>
    <x:row r="2" spans="1:10" ht="42" customHeight="1">
      <x:c r="A2" s="11" t="s">
        <x:v>36</x:v>
      </x:c>
      <x:c r="B2" s="12"/>
      <x:c r="C2" s="12"/>
      <x:c r="D2" s="12"/>
      <x:c r="E2" s="12"/>
      <x:c r="F2" s="12"/>
      <x:c r="G2" s="12"/>
      <x:c r="H2" s="12"/>
      <x:c r="I2" s="12"/>
    </x:row>
    <x:row r="4" spans="1:10">
      <x:c r="A4" s="13" t="s">
        <x:v>37</x:v>
      </x:c>
      <x:c r="B4" s="13" t="s">
        <x:v>38</x:v>
      </x:c>
      <x:c r="C4" s="13" t="s">
        <x:v>39</x:v>
      </x:c>
      <x:c r="D4" s="13" t="s">
        <x:v>40</x:v>
      </x:c>
      <x:c r="E4" s="13" t="s">
        <x:v>41</x:v>
      </x:c>
      <x:c r="F4" s="13" t="s">
        <x:v>42</x:v>
      </x:c>
      <x:c r="G4" s="13" t="s">
        <x:v>43</x:v>
      </x:c>
      <x:c r="H4" s="13" t="s">
        <x:v>44</x:v>
      </x:c>
      <x:c r="I4" s="13" t="s">
        <x:v>45</x:v>
      </x:c>
      <x:c r="J4" s="13" t="s">
        <x:v>46</x:v>
      </x:c>
    </x:row>
    <x:row r="5" spans="1:10">
      <x:c r="A5" s="0" t="s">
        <x:v>47</x:v>
      </x:c>
      <x:c r="B5" s="0" t="s">
        <x:v>48</x:v>
      </x:c>
      <x:c r="C5" s="0" t="s">
        <x:v>49</x:v>
      </x:c>
      <x:c r="D5" s="0" t="s">
        <x:v>50</x:v>
      </x:c>
      <x:c r="E5" s="0" t="s">
        <x:v>51</x:v>
      </x:c>
      <x:c r="F5" s="14">
        <x:v>1</x:v>
      </x:c>
      <x:c r="G5" s="15">
        <x:v>75</x:v>
      </x:c>
      <x:c r="H5" s="0" t="s">
        <x:v>52</x:v>
      </x:c>
      <x:c r="I5" s="16">
        <x:f>[@Quantity]*[@[Unit Price]]</x:f>
      </x:c>
      <x:c r="J5" s="17" t="s">
        <x:v>53</x:v>
      </x:c>
    </x:row>
    <x:row r="6" spans="1:10">
      <x:c r="A6" s="0" t="s">
        <x:v>47</x:v>
      </x:c>
      <x:c r="B6" s="0" t="s">
        <x:v>54</x:v>
      </x:c>
      <x:c r="C6" s="0" t="s">
        <x:v>55</x:v>
      </x:c>
      <x:c r="D6" s="0" t="s">
        <x:v>56</x:v>
      </x:c>
      <x:c r="E6" s="0" t="s">
        <x:v>57</x:v>
      </x:c>
      <x:c r="F6" s="18">
        <x:v>800000</x:v>
      </x:c>
      <x:c r="G6" s="19">
        <x:v>0.005</x:v>
      </x:c>
      <x:c r="H6" s="0" t="s">
        <x:v>58</x:v>
      </x:c>
      <x:c r="I6" s="16">
        <x:f>[@Quantity]*[@[Unit Price]]</x:f>
      </x:c>
      <x:c r="J6" s="17" t="s">
        <x:v>59</x:v>
      </x:c>
    </x:row>
    <x:row r="7" spans="1:10">
      <x:c r="A7" s="0" t="s">
        <x:v>47</x:v>
      </x:c>
      <x:c r="B7" s="0" t="s">
        <x:v>54</x:v>
      </x:c>
      <x:c r="C7" s="0" t="s">
        <x:v>55</x:v>
      </x:c>
      <x:c r="D7" s="0" t="s">
        <x:v>60</x:v>
      </x:c>
      <x:c r="E7" s="0" t="s">
        <x:v>61</x:v>
      </x:c>
      <x:c r="F7" s="18">
        <x:v>240000</x:v>
      </x:c>
      <x:c r="G7" s="19">
        <x:v>0.015</x:v>
      </x:c>
      <x:c r="H7" s="0" t="s">
        <x:v>58</x:v>
      </x:c>
      <x:c r="I7" s="16">
        <x:f>[@Quantity]*[@[Unit Price]]</x:f>
      </x:c>
      <x:c r="J7" s="17" t="s">
        <x:v>59</x:v>
      </x:c>
    </x:row>
    <x:row r="8" spans="1:10">
      <x:c r="A8" s="0" t="s">
        <x:v>62</x:v>
      </x:c>
      <x:c r="B8" s="0" t="s">
        <x:v>63</x:v>
      </x:c>
      <x:c r="C8" s="0" t="s">
        <x:v>64</x:v>
      </x:c>
      <x:c r="D8" s="0" t="s">
        <x:v>65</x:v>
      </x:c>
      <x:c r="E8" s="0" t="s">
        <x:v>66</x:v>
      </x:c>
      <x:c r="F8" s="18">
        <x:v>3</x:v>
      </x:c>
      <x:c r="G8" s="19">
        <x:v>259.88</x:v>
      </x:c>
      <x:c r="H8" s="0" t="s">
        <x:v>67</x:v>
      </x:c>
      <x:c r="I8" s="16">
        <x:f>[@Quantity]*[@[Unit Price]]</x:f>
      </x:c>
      <x:c r="J8" s="17" t="s">
        <x:v>68</x:v>
      </x:c>
    </x:row>
    <x:row r="9" spans="1:10">
      <x:c r="A9" s="0" t="s">
        <x:v>62</x:v>
      </x:c>
      <x:c r="B9" s="0" t="s">
        <x:v>69</x:v>
      </x:c>
      <x:c r="C9" s="0" t="s">
        <x:v>70</x:v>
      </x:c>
      <x:c r="D9" s="0" t="s">
        <x:v>71</x:v>
      </x:c>
      <x:c r="E9" s="0" t="s">
        <x:v>72</x:v>
      </x:c>
      <x:c r="F9" s="18">
        <x:v>10</x:v>
      </x:c>
      <x:c r="G9" s="19">
        <x:v>0.2</x:v>
      </x:c>
      <x:c r="H9" s="0" t="s">
        <x:v>73</x:v>
      </x:c>
      <x:c r="I9" s="16">
        <x:f>[@Quantity]*[@[Unit Price]]</x:f>
      </x:c>
      <x:c r="J9" s="17" t="s">
        <x:v>74</x:v>
      </x:c>
    </x:row>
    <x:row r="10" spans="1:10">
      <x:c r="A10" s="0" t="s">
        <x:v>75</x:v>
      </x:c>
      <x:c r="B10" s="0" t="s">
        <x:v>76</x:v>
      </x:c>
      <x:c r="C10" s="0" t="s">
        <x:v>77</x:v>
      </x:c>
      <x:c r="D10" s="0" t="s">
        <x:v>78</x:v>
      </x:c>
      <x:c r="E10" s="0" t="s">
        <x:v>79</x:v>
      </x:c>
      <x:c r="F10" s="18">
        <x:v>500</x:v>
      </x:c>
      <x:c r="G10" s="19">
        <x:v>0.021</x:v>
      </x:c>
      <x:c r="H10" s="0" t="s">
        <x:v>80</x:v>
      </x:c>
      <x:c r="I10" s="16">
        <x:f>[@Quantity]*[@[Unit Price]]</x:f>
      </x:c>
      <x:c r="J10" s="17" t="s">
        <x:v>81</x:v>
      </x:c>
    </x:row>
    <x:row r="11" spans="1:10">
      <x:c r="A11" s="0" t="s">
        <x:v>75</x:v>
      </x:c>
      <x:c r="B11" s="0" t="s">
        <x:v>82</x:v>
      </x:c>
      <x:c r="C11" s="0" t="s">
        <x:v>83</x:v>
      </x:c>
      <x:c r="D11" s="0" t="s">
        <x:v>84</x:v>
      </x:c>
      <x:c r="E11" s="0" t="s">
        <x:v>85</x:v>
      </x:c>
      <x:c r="F11" s="18">
        <x:v>2</x:v>
      </x:c>
      <x:c r="G11" s="19">
        <x:v>130</x:v>
      </x:c>
      <x:c r="H11" s="0" t="s">
        <x:v>86</x:v>
      </x:c>
      <x:c r="I11" s="16">
        <x:f>[@Quantity]*[@[Unit Price]]</x:f>
      </x:c>
      <x:c r="J11" s="17" t="s">
        <x:v>87</x:v>
      </x:c>
    </x:row>
    <x:row r="12" spans="1:10">
      <x:c r="A12" s="0" t="s">
        <x:v>88</x:v>
      </x:c>
      <x:c r="B12" s="0" t="s">
        <x:v>89</x:v>
      </x:c>
      <x:c r="C12" s="0" t="s">
        <x:v>90</x:v>
      </x:c>
      <x:c r="D12" s="0" t="s">
        <x:v>91</x:v>
      </x:c>
      <x:c r="E12" s="0" t="s">
        <x:v>92</x:v>
      </x:c>
      <x:c r="F12" s="18">
        <x:v>500</x:v>
      </x:c>
      <x:c r="G12" s="19">
        <x:v>0.12</x:v>
      </x:c>
      <x:c r="H12" s="0" t="s">
        <x:v>93</x:v>
      </x:c>
      <x:c r="I12" s="16">
        <x:f>[@Quantity]*[@[Unit Price]]</x:f>
      </x:c>
      <x:c r="J12" s="17" t="s">
        <x:v>94</x:v>
      </x:c>
    </x:row>
    <x:row r="13" spans="1:10">
      <x:c r="A13" s="0" t="s">
        <x:v>95</x:v>
      </x:c>
      <x:c r="B13" s="0" t="s">
        <x:v>96</x:v>
      </x:c>
      <x:c r="C13" s="0" t="s">
        <x:v>97</x:v>
      </x:c>
      <x:c r="D13" s="0" t="s">
        <x:v>98</x:v>
      </x:c>
      <x:c r="E13" s="0" t="s">
        <x:v>99</x:v>
      </x:c>
      <x:c r="F13" s="18">
        <x:v>50</x:v>
      </x:c>
      <x:c r="G13" s="19">
        <x:v>2.76</x:v>
      </x:c>
      <x:c r="H13" s="0" t="s">
        <x:v>93</x:v>
      </x:c>
      <x:c r="I13" s="16">
        <x:f>[@Quantity]*[@[Unit Price]]</x:f>
      </x:c>
      <x:c r="J13" s="17" t="s">
        <x:v>100</x:v>
      </x:c>
    </x:row>
    <x:row r="14" spans="1:10">
      <x:c r="A14" s="0" t="s">
        <x:v>101</x:v>
      </x:c>
      <x:c r="B14" s="0" t="s">
        <x:v>102</x:v>
      </x:c>
      <x:c r="C14" s="0" t="s">
        <x:v>90</x:v>
      </x:c>
      <x:c r="D14" s="0" t="s">
        <x:v>103</x:v>
      </x:c>
      <x:c r="E14" s="0" t="s">
        <x:v>104</x:v>
      </x:c>
      <x:c r="F14" s="20">
        <x:v>200</x:v>
      </x:c>
      <x:c r="G14" s="21">
        <x:v>0.03</x:v>
      </x:c>
      <x:c r="H14" s="0" t="s">
        <x:v>105</x:v>
      </x:c>
      <x:c r="I14" s="16">
        <x:f>[@Quantity]*[@[Unit Price]]</x:f>
      </x:c>
      <x:c r="J14" s="17" t="s">
        <x:v>106</x:v>
      </x:c>
    </x:row>
    <x:row r="15" spans="1:10">
      <x:c r="A15" s="4" t="s">
        <x:v>24</x:v>
      </x:c>
      <x:c r="I15" s="7">
        <x:f>SUBTOTAL(109,CostModel[Monthly Cost])</x:f>
      </x:c>
      <x:c r="J15" s="17"/>
    </x:row>
    <x:row r="17" spans="1:10">
      <x:c r="A17" s="4" t="s">
        <x:v>25</x:v>
      </x:c>
      <x:c r="B17" s="7">
        <x:f>CostModel[[#Totals],[Monthly Cost]]*0.25</x:f>
      </x:c>
    </x:row>
    <x:row r="18" spans="1:10">
      <x:c r="A18" s="8" t="s">
        <x:v>26</x:v>
      </x:c>
      <x:c r="B18" s="9">
        <x:f>CostModel[[#Totals],[Monthly Cost]]+B17</x:f>
      </x:c>
    </x:row>
    <x:row r="19" spans="1:10">
      <x:c r="A19" s="8" t="s">
        <x:v>27</x:v>
      </x:c>
      <x:c r="B19" s="9">
        <x:f>B18*12</x:f>
      </x:c>
    </x:row>
    <x:row r="21" spans="1:10">
      <x:c r="A21" s="4" t="s">
        <x:v>107</x:v>
      </x:c>
    </x:row>
    <x:row r="22" spans="1:10">
      <x:c r="A22" s="0" t="s">
        <x:v>108</x:v>
      </x:c>
    </x:row>
    <x:row r="23" spans="1:10">
      <x:c r="A23" s="0" t="s">
        <x:v>109</x:v>
      </x:c>
    </x:row>
    <x:row r="24" spans="1:10">
      <x:c r="A24" s="0" t="s">
        <x:v>110</x:v>
      </x:c>
    </x:row>
    <x:row r="25" spans="1:10">
      <x:c r="A25" s="0" t="s">
        <x:v>111</x:v>
      </x:c>
    </x:row>
    <x:row r="26" spans="1:10">
      <x:c r="A26" s="0" t="s">
        <x:v>112</x:v>
      </x:c>
    </x:row>
    <x:row r="27" spans="1:10">
      <x:c r="A27" s="22" t="s">
        <x:v>113</x:v>
      </x:c>
    </x:row>
  </x:sheetData>
  <x:mergeCells count="2">
    <x:mergeCell ref="A1:I1"/>
    <x:mergeCell ref="A2:I2"/>
  </x:mergeCells>
  <x:hyperlinks>
    <x:hyperlink ref="J5" r:id="rId13"/>
    <x:hyperlink ref="J6" r:id="rId14"/>
    <x:hyperlink ref="J7" r:id="rId15"/>
    <x:hyperlink ref="J8" r:id="rId16"/>
    <x:hyperlink ref="J9" r:id="rId17"/>
    <x:hyperlink ref="J10" r:id="rId18"/>
    <x:hyperlink ref="J11" r:id="rId19"/>
    <x:hyperlink ref="J12" r:id="rId20"/>
    <x:hyperlink ref="J13" r:id="rId21"/>
    <x:hyperlink ref="J14" r:id="rId22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9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6.710625" style="0" customWidth="1"/>
    <x:col min="2" max="2" width="22.710625" style="0" customWidth="1"/>
    <x:col min="3" max="3" width="14.710625" style="0" customWidth="1"/>
    <x:col min="4" max="4" width="16.710625" style="0" customWidth="1"/>
    <x:col min="5" max="5" width="45.710625" style="0" customWidth="1"/>
    <x:col min="6" max="6" width="12.710625" style="0" customWidth="1"/>
    <x:col min="7" max="7" width="14.710625" style="0" customWidth="1"/>
    <x:col min="8" max="9" width="16.710625" style="0" customWidth="1"/>
    <x:col min="10" max="10" width="22.710625" style="0" customWidth="1"/>
  </x:cols>
  <x:sheetData>
    <x:row r="1" spans="1:10" ht="26" customHeight="1">
      <x:c r="A1" s="1" t="s">
        <x:v>114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spans="1:10">
      <x:c r="A2" s="22" t="s">
        <x:v>115</x:v>
      </x:c>
    </x:row>
    <x:row r="4" spans="1:10">
      <x:c r="A4" s="13" t="s">
        <x:v>37</x:v>
      </x:c>
      <x:c r="B4" s="13" t="s">
        <x:v>38</x:v>
      </x:c>
      <x:c r="C4" s="13" t="s">
        <x:v>39</x:v>
      </x:c>
      <x:c r="D4" s="13" t="s">
        <x:v>40</x:v>
      </x:c>
      <x:c r="E4" s="13" t="s">
        <x:v>41</x:v>
      </x:c>
      <x:c r="F4" s="13" t="s">
        <x:v>42</x:v>
      </x:c>
      <x:c r="G4" s="13" t="s">
        <x:v>43</x:v>
      </x:c>
      <x:c r="H4" s="13" t="s">
        <x:v>44</x:v>
      </x:c>
      <x:c r="I4" s="13" t="s">
        <x:v>45</x:v>
      </x:c>
      <x:c r="J4" s="13" t="s">
        <x:v>46</x:v>
      </x:c>
    </x:row>
    <x:row r="5" spans="1:10">
      <x:c r="A5" s="0" t="s">
        <x:v>47</x:v>
      </x:c>
      <x:c r="B5" s="0" t="s">
        <x:v>48</x:v>
      </x:c>
      <x:c r="C5" s="0" t="s">
        <x:v>49</x:v>
      </x:c>
      <x:c r="D5" s="0" t="s">
        <x:v>50</x:v>
      </x:c>
      <x:c r="E5" s="0" t="s">
        <x:v>51</x:v>
      </x:c>
      <x:c r="F5" s="14">
        <x:v>0.3</x:v>
      </x:c>
      <x:c r="G5" s="15">
        <x:v>75</x:v>
      </x:c>
      <x:c r="H5" s="0" t="s">
        <x:v>52</x:v>
      </x:c>
      <x:c r="I5" s="16">
        <x:f>[@Quantity]*[@[Unit Price]]</x:f>
      </x:c>
      <x:c r="J5" s="17" t="s">
        <x:v>53</x:v>
      </x:c>
    </x:row>
    <x:row r="6" spans="1:10">
      <x:c r="A6" s="0" t="s">
        <x:v>47</x:v>
      </x:c>
      <x:c r="B6" s="0" t="s">
        <x:v>54</x:v>
      </x:c>
      <x:c r="C6" s="0" t="s">
        <x:v>55</x:v>
      </x:c>
      <x:c r="D6" s="0" t="s">
        <x:v>56</x:v>
      </x:c>
      <x:c r="E6" s="0" t="s">
        <x:v>57</x:v>
      </x:c>
      <x:c r="F6" s="18">
        <x:v>240000</x:v>
      </x:c>
      <x:c r="G6" s="19">
        <x:v>0.005</x:v>
      </x:c>
      <x:c r="H6" s="0" t="s">
        <x:v>58</x:v>
      </x:c>
      <x:c r="I6" s="16">
        <x:f>[@Quantity]*[@[Unit Price]]</x:f>
      </x:c>
      <x:c r="J6" s="17" t="s">
        <x:v>59</x:v>
      </x:c>
    </x:row>
    <x:row r="7" spans="1:10">
      <x:c r="A7" s="0" t="s">
        <x:v>47</x:v>
      </x:c>
      <x:c r="B7" s="0" t="s">
        <x:v>54</x:v>
      </x:c>
      <x:c r="C7" s="0" t="s">
        <x:v>55</x:v>
      </x:c>
      <x:c r="D7" s="0" t="s">
        <x:v>60</x:v>
      </x:c>
      <x:c r="E7" s="0" t="s">
        <x:v>61</x:v>
      </x:c>
      <x:c r="F7" s="18">
        <x:v>72000</x:v>
      </x:c>
      <x:c r="G7" s="19">
        <x:v>0.015</x:v>
      </x:c>
      <x:c r="H7" s="0" t="s">
        <x:v>58</x:v>
      </x:c>
      <x:c r="I7" s="16">
        <x:f>[@Quantity]*[@[Unit Price]]</x:f>
      </x:c>
      <x:c r="J7" s="17" t="s">
        <x:v>59</x:v>
      </x:c>
    </x:row>
    <x:row r="8" spans="1:10">
      <x:c r="A8" s="0" t="s">
        <x:v>62</x:v>
      </x:c>
      <x:c r="B8" s="0" t="s">
        <x:v>63</x:v>
      </x:c>
      <x:c r="C8" s="0" t="s">
        <x:v>64</x:v>
      </x:c>
      <x:c r="D8" s="0" t="s">
        <x:v>65</x:v>
      </x:c>
      <x:c r="E8" s="0" t="s">
        <x:v>66</x:v>
      </x:c>
      <x:c r="F8" s="18">
        <x:v>1.5</x:v>
      </x:c>
      <x:c r="G8" s="19">
        <x:v>259.88</x:v>
      </x:c>
      <x:c r="H8" s="0" t="s">
        <x:v>67</x:v>
      </x:c>
      <x:c r="I8" s="16">
        <x:f>[@Quantity]*[@[Unit Price]]</x:f>
      </x:c>
      <x:c r="J8" s="17" t="s">
        <x:v>68</x:v>
      </x:c>
    </x:row>
    <x:row r="9" spans="1:10">
      <x:c r="A9" s="0" t="s">
        <x:v>62</x:v>
      </x:c>
      <x:c r="B9" s="0" t="s">
        <x:v>69</x:v>
      </x:c>
      <x:c r="C9" s="0" t="s">
        <x:v>70</x:v>
      </x:c>
      <x:c r="D9" s="0" t="s">
        <x:v>71</x:v>
      </x:c>
      <x:c r="E9" s="0" t="s">
        <x:v>72</x:v>
      </x:c>
      <x:c r="F9" s="18">
        <x:v>5</x:v>
      </x:c>
      <x:c r="G9" s="19">
        <x:v>0.2</x:v>
      </x:c>
      <x:c r="H9" s="0" t="s">
        <x:v>73</x:v>
      </x:c>
      <x:c r="I9" s="16">
        <x:f>[@Quantity]*[@[Unit Price]]</x:f>
      </x:c>
      <x:c r="J9" s="17" t="s">
        <x:v>74</x:v>
      </x:c>
    </x:row>
    <x:row r="10" spans="1:10">
      <x:c r="A10" s="0" t="s">
        <x:v>75</x:v>
      </x:c>
      <x:c r="B10" s="0" t="s">
        <x:v>76</x:v>
      </x:c>
      <x:c r="C10" s="0" t="s">
        <x:v>77</x:v>
      </x:c>
      <x:c r="D10" s="0" t="s">
        <x:v>78</x:v>
      </x:c>
      <x:c r="E10" s="0" t="s">
        <x:v>79</x:v>
      </x:c>
      <x:c r="F10" s="18">
        <x:v>200</x:v>
      </x:c>
      <x:c r="G10" s="19">
        <x:v>0.021</x:v>
      </x:c>
      <x:c r="H10" s="0" t="s">
        <x:v>80</x:v>
      </x:c>
      <x:c r="I10" s="16">
        <x:f>[@Quantity]*[@[Unit Price]]</x:f>
      </x:c>
      <x:c r="J10" s="17" t="s">
        <x:v>81</x:v>
      </x:c>
    </x:row>
    <x:row r="11" spans="1:10">
      <x:c r="A11" s="0" t="s">
        <x:v>75</x:v>
      </x:c>
      <x:c r="B11" s="0" t="s">
        <x:v>82</x:v>
      </x:c>
      <x:c r="C11" s="0" t="s">
        <x:v>83</x:v>
      </x:c>
      <x:c r="D11" s="0" t="s">
        <x:v>84</x:v>
      </x:c>
      <x:c r="E11" s="0" t="s">
        <x:v>85</x:v>
      </x:c>
      <x:c r="F11" s="18">
        <x:v>0.8</x:v>
      </x:c>
      <x:c r="G11" s="19">
        <x:v>130</x:v>
      </x:c>
      <x:c r="H11" s="0" t="s">
        <x:v>86</x:v>
      </x:c>
      <x:c r="I11" s="16">
        <x:f>[@Quantity]*[@[Unit Price]]</x:f>
      </x:c>
      <x:c r="J11" s="17" t="s">
        <x:v>87</x:v>
      </x:c>
    </x:row>
    <x:row r="12" spans="1:10">
      <x:c r="A12" s="0" t="s">
        <x:v>88</x:v>
      </x:c>
      <x:c r="B12" s="0" t="s">
        <x:v>89</x:v>
      </x:c>
      <x:c r="C12" s="0" t="s">
        <x:v>90</x:v>
      </x:c>
      <x:c r="D12" s="0" t="s">
        <x:v>91</x:v>
      </x:c>
      <x:c r="E12" s="0" t="s">
        <x:v>92</x:v>
      </x:c>
      <x:c r="F12" s="18">
        <x:v>150</x:v>
      </x:c>
      <x:c r="G12" s="19">
        <x:v>0.12</x:v>
      </x:c>
      <x:c r="H12" s="0" t="s">
        <x:v>93</x:v>
      </x:c>
      <x:c r="I12" s="16">
        <x:f>[@Quantity]*[@[Unit Price]]</x:f>
      </x:c>
      <x:c r="J12" s="17" t="s">
        <x:v>94</x:v>
      </x:c>
    </x:row>
    <x:row r="13" spans="1:10">
      <x:c r="A13" s="0" t="s">
        <x:v>95</x:v>
      </x:c>
      <x:c r="B13" s="0" t="s">
        <x:v>96</x:v>
      </x:c>
      <x:c r="C13" s="0" t="s">
        <x:v>97</x:v>
      </x:c>
      <x:c r="D13" s="0" t="s">
        <x:v>98</x:v>
      </x:c>
      <x:c r="E13" s="0" t="s">
        <x:v>99</x:v>
      </x:c>
      <x:c r="F13" s="18">
        <x:v>20</x:v>
      </x:c>
      <x:c r="G13" s="19">
        <x:v>2.76</x:v>
      </x:c>
      <x:c r="H13" s="0" t="s">
        <x:v>93</x:v>
      </x:c>
      <x:c r="I13" s="16">
        <x:f>[@Quantity]*[@[Unit Price]]</x:f>
      </x:c>
      <x:c r="J13" s="17" t="s">
        <x:v>100</x:v>
      </x:c>
    </x:row>
    <x:row r="14" spans="1:10">
      <x:c r="A14" s="0" t="s">
        <x:v>101</x:v>
      </x:c>
      <x:c r="B14" s="0" t="s">
        <x:v>102</x:v>
      </x:c>
      <x:c r="C14" s="0" t="s">
        <x:v>90</x:v>
      </x:c>
      <x:c r="D14" s="0" t="s">
        <x:v>103</x:v>
      </x:c>
      <x:c r="E14" s="0" t="s">
        <x:v>104</x:v>
      </x:c>
      <x:c r="F14" s="20">
        <x:v>100</x:v>
      </x:c>
      <x:c r="G14" s="21">
        <x:v>0.03</x:v>
      </x:c>
      <x:c r="H14" s="0" t="s">
        <x:v>105</x:v>
      </x:c>
      <x:c r="I14" s="16">
        <x:f>[@Quantity]*[@[Unit Price]]</x:f>
      </x:c>
      <x:c r="J14" s="17" t="s">
        <x:v>106</x:v>
      </x:c>
    </x:row>
    <x:row r="15" spans="1:10">
      <x:c r="A15" s="4" t="s">
        <x:v>24</x:v>
      </x:c>
      <x:c r="I15" s="7">
        <x:f>SUBTOTAL(109,NonProdCost[Monthly Cost])</x:f>
      </x:c>
      <x:c r="J15" s="17"/>
    </x:row>
    <x:row r="17" spans="1:10">
      <x:c r="A17" s="4" t="s">
        <x:v>25</x:v>
      </x:c>
      <x:c r="B17" s="7">
        <x:f>NonProdCost[[#Totals],[Monthly Cost]]*0.25</x:f>
      </x:c>
    </x:row>
    <x:row r="18" spans="1:10">
      <x:c r="A18" s="8" t="s">
        <x:v>26</x:v>
      </x:c>
      <x:c r="B18" s="9">
        <x:f>NonProdCost[[#Totals],[Monthly Cost]]+B17</x:f>
      </x:c>
    </x:row>
    <x:row r="19" spans="1:10">
      <x:c r="A19" s="8" t="s">
        <x:v>27</x:v>
      </x:c>
      <x:c r="B19" s="9">
        <x:f>B18*12</x:f>
      </x:c>
    </x:row>
  </x:sheetData>
  <x:mergeCells count="1">
    <x:mergeCell ref="A1:J1"/>
  </x:mergeCells>
  <x:hyperlinks>
    <x:hyperlink ref="J5" r:id="rId24"/>
    <x:hyperlink ref="J6" r:id="rId25"/>
    <x:hyperlink ref="J7" r:id="rId26"/>
    <x:hyperlink ref="J8" r:id="rId27"/>
    <x:hyperlink ref="J9" r:id="rId28"/>
    <x:hyperlink ref="J10" r:id="rId29"/>
    <x:hyperlink ref="J11" r:id="rId30"/>
    <x:hyperlink ref="J12" r:id="rId31"/>
    <x:hyperlink ref="J13" r:id="rId32"/>
    <x:hyperlink ref="J14" r:id="rId33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9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6.710625" style="0" customWidth="1"/>
    <x:col min="2" max="2" width="22.710625" style="0" customWidth="1"/>
    <x:col min="3" max="3" width="14.710625" style="0" customWidth="1"/>
    <x:col min="4" max="4" width="16.710625" style="0" customWidth="1"/>
    <x:col min="5" max="5" width="45.710625" style="0" customWidth="1"/>
    <x:col min="6" max="6" width="12.710625" style="0" customWidth="1"/>
    <x:col min="7" max="7" width="14.710625" style="0" customWidth="1"/>
    <x:col min="8" max="9" width="16.710625" style="0" customWidth="1"/>
    <x:col min="10" max="10" width="22.710625" style="0" customWidth="1"/>
  </x:cols>
  <x:sheetData>
    <x:row r="1" spans="1:10" ht="26" customHeight="1">
      <x:c r="A1" s="1" t="s">
        <x:v>116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spans="1:10">
      <x:c r="A2" s="22" t="s">
        <x:v>117</x:v>
      </x:c>
    </x:row>
    <x:row r="4" spans="1:10">
      <x:c r="A4" s="13" t="s">
        <x:v>37</x:v>
      </x:c>
      <x:c r="B4" s="13" t="s">
        <x:v>38</x:v>
      </x:c>
      <x:c r="C4" s="13" t="s">
        <x:v>39</x:v>
      </x:c>
      <x:c r="D4" s="13" t="s">
        <x:v>40</x:v>
      </x:c>
      <x:c r="E4" s="13" t="s">
        <x:v>41</x:v>
      </x:c>
      <x:c r="F4" s="13" t="s">
        <x:v>42</x:v>
      </x:c>
      <x:c r="G4" s="13" t="s">
        <x:v>43</x:v>
      </x:c>
      <x:c r="H4" s="13" t="s">
        <x:v>44</x:v>
      </x:c>
      <x:c r="I4" s="13" t="s">
        <x:v>45</x:v>
      </x:c>
      <x:c r="J4" s="13" t="s">
        <x:v>46</x:v>
      </x:c>
    </x:row>
    <x:row r="5" spans="1:10">
      <x:c r="A5" s="0" t="s">
        <x:v>47</x:v>
      </x:c>
      <x:c r="B5" s="0" t="s">
        <x:v>48</x:v>
      </x:c>
      <x:c r="C5" s="0" t="s">
        <x:v>49</x:v>
      </x:c>
      <x:c r="D5" s="0" t="s">
        <x:v>50</x:v>
      </x:c>
      <x:c r="E5" s="0" t="s">
        <x:v>51</x:v>
      </x:c>
      <x:c r="F5" s="14">
        <x:v>1</x:v>
      </x:c>
      <x:c r="G5" s="15">
        <x:v>75</x:v>
      </x:c>
      <x:c r="H5" s="0" t="s">
        <x:v>52</x:v>
      </x:c>
      <x:c r="I5" s="16">
        <x:f>[@Quantity]*[@[Unit Price]]</x:f>
      </x:c>
      <x:c r="J5" s="17" t="s">
        <x:v>53</x:v>
      </x:c>
    </x:row>
    <x:row r="6" spans="1:10">
      <x:c r="A6" s="0" t="s">
        <x:v>47</x:v>
      </x:c>
      <x:c r="B6" s="0" t="s">
        <x:v>54</x:v>
      </x:c>
      <x:c r="C6" s="0" t="s">
        <x:v>55</x:v>
      </x:c>
      <x:c r="D6" s="0" t="s">
        <x:v>56</x:v>
      </x:c>
      <x:c r="E6" s="0" t="s">
        <x:v>57</x:v>
      </x:c>
      <x:c r="F6" s="18">
        <x:v>800000</x:v>
      </x:c>
      <x:c r="G6" s="19">
        <x:v>0.005</x:v>
      </x:c>
      <x:c r="H6" s="0" t="s">
        <x:v>58</x:v>
      </x:c>
      <x:c r="I6" s="16">
        <x:f>[@Quantity]*[@[Unit Price]]</x:f>
      </x:c>
      <x:c r="J6" s="17" t="s">
        <x:v>59</x:v>
      </x:c>
    </x:row>
    <x:row r="7" spans="1:10">
      <x:c r="A7" s="0" t="s">
        <x:v>47</x:v>
      </x:c>
      <x:c r="B7" s="0" t="s">
        <x:v>54</x:v>
      </x:c>
      <x:c r="C7" s="0" t="s">
        <x:v>55</x:v>
      </x:c>
      <x:c r="D7" s="0" t="s">
        <x:v>60</x:v>
      </x:c>
      <x:c r="E7" s="0" t="s">
        <x:v>61</x:v>
      </x:c>
      <x:c r="F7" s="18">
        <x:v>240000</x:v>
      </x:c>
      <x:c r="G7" s="19">
        <x:v>0.015</x:v>
      </x:c>
      <x:c r="H7" s="0" t="s">
        <x:v>58</x:v>
      </x:c>
      <x:c r="I7" s="16">
        <x:f>[@Quantity]*[@[Unit Price]]</x:f>
      </x:c>
      <x:c r="J7" s="17" t="s">
        <x:v>59</x:v>
      </x:c>
    </x:row>
    <x:row r="8" spans="1:10">
      <x:c r="A8" s="0" t="s">
        <x:v>62</x:v>
      </x:c>
      <x:c r="B8" s="0" t="s">
        <x:v>63</x:v>
      </x:c>
      <x:c r="C8" s="0" t="s">
        <x:v>64</x:v>
      </x:c>
      <x:c r="D8" s="0" t="s">
        <x:v>65</x:v>
      </x:c>
      <x:c r="E8" s="0" t="s">
        <x:v>66</x:v>
      </x:c>
      <x:c r="F8" s="18">
        <x:v>3</x:v>
      </x:c>
      <x:c r="G8" s="19">
        <x:v>259.88</x:v>
      </x:c>
      <x:c r="H8" s="0" t="s">
        <x:v>67</x:v>
      </x:c>
      <x:c r="I8" s="16">
        <x:f>[@Quantity]*[@[Unit Price]]</x:f>
      </x:c>
      <x:c r="J8" s="17" t="s">
        <x:v>68</x:v>
      </x:c>
    </x:row>
    <x:row r="9" spans="1:10">
      <x:c r="A9" s="0" t="s">
        <x:v>62</x:v>
      </x:c>
      <x:c r="B9" s="0" t="s">
        <x:v>69</x:v>
      </x:c>
      <x:c r="C9" s="0" t="s">
        <x:v>70</x:v>
      </x:c>
      <x:c r="D9" s="0" t="s">
        <x:v>71</x:v>
      </x:c>
      <x:c r="E9" s="0" t="s">
        <x:v>72</x:v>
      </x:c>
      <x:c r="F9" s="18">
        <x:v>10</x:v>
      </x:c>
      <x:c r="G9" s="19">
        <x:v>0.2</x:v>
      </x:c>
      <x:c r="H9" s="0" t="s">
        <x:v>73</x:v>
      </x:c>
      <x:c r="I9" s="16">
        <x:f>[@Quantity]*[@[Unit Price]]</x:f>
      </x:c>
      <x:c r="J9" s="17" t="s">
        <x:v>74</x:v>
      </x:c>
    </x:row>
    <x:row r="10" spans="1:10">
      <x:c r="A10" s="0" t="s">
        <x:v>75</x:v>
      </x:c>
      <x:c r="B10" s="0" t="s">
        <x:v>76</x:v>
      </x:c>
      <x:c r="C10" s="0" t="s">
        <x:v>77</x:v>
      </x:c>
      <x:c r="D10" s="0" t="s">
        <x:v>78</x:v>
      </x:c>
      <x:c r="E10" s="0" t="s">
        <x:v>79</x:v>
      </x:c>
      <x:c r="F10" s="18">
        <x:v>500</x:v>
      </x:c>
      <x:c r="G10" s="19">
        <x:v>0.021</x:v>
      </x:c>
      <x:c r="H10" s="0" t="s">
        <x:v>80</x:v>
      </x:c>
      <x:c r="I10" s="16">
        <x:f>[@Quantity]*[@[Unit Price]]</x:f>
      </x:c>
      <x:c r="J10" s="17" t="s">
        <x:v>81</x:v>
      </x:c>
    </x:row>
    <x:row r="11" spans="1:10">
      <x:c r="A11" s="0" t="s">
        <x:v>75</x:v>
      </x:c>
      <x:c r="B11" s="0" t="s">
        <x:v>82</x:v>
      </x:c>
      <x:c r="C11" s="0" t="s">
        <x:v>83</x:v>
      </x:c>
      <x:c r="D11" s="0" t="s">
        <x:v>84</x:v>
      </x:c>
      <x:c r="E11" s="0" t="s">
        <x:v>85</x:v>
      </x:c>
      <x:c r="F11" s="18">
        <x:v>2</x:v>
      </x:c>
      <x:c r="G11" s="19">
        <x:v>130</x:v>
      </x:c>
      <x:c r="H11" s="0" t="s">
        <x:v>86</x:v>
      </x:c>
      <x:c r="I11" s="16">
        <x:f>[@Quantity]*[@[Unit Price]]</x:f>
      </x:c>
      <x:c r="J11" s="17" t="s">
        <x:v>87</x:v>
      </x:c>
    </x:row>
    <x:row r="12" spans="1:10">
      <x:c r="A12" s="0" t="s">
        <x:v>88</x:v>
      </x:c>
      <x:c r="B12" s="0" t="s">
        <x:v>89</x:v>
      </x:c>
      <x:c r="C12" s="0" t="s">
        <x:v>90</x:v>
      </x:c>
      <x:c r="D12" s="0" t="s">
        <x:v>91</x:v>
      </x:c>
      <x:c r="E12" s="0" t="s">
        <x:v>92</x:v>
      </x:c>
      <x:c r="F12" s="18">
        <x:v>500</x:v>
      </x:c>
      <x:c r="G12" s="19">
        <x:v>0.12</x:v>
      </x:c>
      <x:c r="H12" s="0" t="s">
        <x:v>93</x:v>
      </x:c>
      <x:c r="I12" s="16">
        <x:f>[@Quantity]*[@[Unit Price]]</x:f>
      </x:c>
      <x:c r="J12" s="17" t="s">
        <x:v>94</x:v>
      </x:c>
    </x:row>
    <x:row r="13" spans="1:10">
      <x:c r="A13" s="0" t="s">
        <x:v>95</x:v>
      </x:c>
      <x:c r="B13" s="0" t="s">
        <x:v>96</x:v>
      </x:c>
      <x:c r="C13" s="0" t="s">
        <x:v>97</x:v>
      </x:c>
      <x:c r="D13" s="0" t="s">
        <x:v>98</x:v>
      </x:c>
      <x:c r="E13" s="0" t="s">
        <x:v>99</x:v>
      </x:c>
      <x:c r="F13" s="18">
        <x:v>50</x:v>
      </x:c>
      <x:c r="G13" s="19">
        <x:v>2.76</x:v>
      </x:c>
      <x:c r="H13" s="0" t="s">
        <x:v>93</x:v>
      </x:c>
      <x:c r="I13" s="16">
        <x:f>[@Quantity]*[@[Unit Price]]</x:f>
      </x:c>
      <x:c r="J13" s="17" t="s">
        <x:v>100</x:v>
      </x:c>
    </x:row>
    <x:row r="14" spans="1:10">
      <x:c r="A14" s="0" t="s">
        <x:v>101</x:v>
      </x:c>
      <x:c r="B14" s="0" t="s">
        <x:v>102</x:v>
      </x:c>
      <x:c r="C14" s="0" t="s">
        <x:v>90</x:v>
      </x:c>
      <x:c r="D14" s="0" t="s">
        <x:v>103</x:v>
      </x:c>
      <x:c r="E14" s="0" t="s">
        <x:v>104</x:v>
      </x:c>
      <x:c r="F14" s="20">
        <x:v>200</x:v>
      </x:c>
      <x:c r="G14" s="21">
        <x:v>0.03</x:v>
      </x:c>
      <x:c r="H14" s="0" t="s">
        <x:v>105</x:v>
      </x:c>
      <x:c r="I14" s="16">
        <x:f>[@Quantity]*[@[Unit Price]]</x:f>
      </x:c>
      <x:c r="J14" s="17" t="s">
        <x:v>106</x:v>
      </x:c>
    </x:row>
    <x:row r="15" spans="1:10">
      <x:c r="A15" s="4" t="s">
        <x:v>24</x:v>
      </x:c>
      <x:c r="I15" s="7">
        <x:f>SUBTOTAL(109,ProdCost[Monthly Cost])</x:f>
      </x:c>
      <x:c r="J15" s="17"/>
    </x:row>
    <x:row r="17" spans="1:10">
      <x:c r="A17" s="4" t="s">
        <x:v>25</x:v>
      </x:c>
      <x:c r="B17" s="7">
        <x:f>ProdCost[[#Totals],[Monthly Cost]]*0.25</x:f>
      </x:c>
    </x:row>
    <x:row r="18" spans="1:10">
      <x:c r="A18" s="8" t="s">
        <x:v>26</x:v>
      </x:c>
      <x:c r="B18" s="9">
        <x:f>ProdCost[[#Totals],[Monthly Cost]]+B17</x:f>
      </x:c>
    </x:row>
    <x:row r="19" spans="1:10">
      <x:c r="A19" s="8" t="s">
        <x:v>27</x:v>
      </x:c>
      <x:c r="B19" s="9">
        <x:f>B18*12</x:f>
      </x:c>
    </x:row>
  </x:sheetData>
  <x:mergeCells count="1">
    <x:mergeCell ref="A1:J1"/>
  </x:mergeCells>
  <x:hyperlinks>
    <x:hyperlink ref="J5" r:id="rId35"/>
    <x:hyperlink ref="J6" r:id="rId36"/>
    <x:hyperlink ref="J7" r:id="rId37"/>
    <x:hyperlink ref="J8" r:id="rId38"/>
    <x:hyperlink ref="J9" r:id="rId39"/>
    <x:hyperlink ref="J10" r:id="rId40"/>
    <x:hyperlink ref="J11" r:id="rId41"/>
    <x:hyperlink ref="J12" r:id="rId42"/>
    <x:hyperlink ref="J13" r:id="rId43"/>
    <x:hyperlink ref="J14" r:id="rId44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9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6.710625" style="0" customWidth="1"/>
    <x:col min="2" max="2" width="22.710625" style="0" customWidth="1"/>
    <x:col min="3" max="5" width="14.710625" style="0" customWidth="1"/>
    <x:col min="6" max="7" width="12.710625" style="0" customWidth="1"/>
    <x:col min="8" max="10" width="14.710625" style="0" customWidth="1"/>
    <x:col min="11" max="11" width="22.710625" style="0" customWidth="1"/>
  </x:cols>
  <x:sheetData>
    <x:row r="1" spans="1:11" ht="26" customHeight="1">
      <x:c r="A1" s="1" t="s">
        <x:v>118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spans="1:11">
      <x:c r="A2" s="22" t="s">
        <x:v>119</x:v>
      </x:c>
    </x:row>
    <x:row r="4" spans="1:11">
      <x:c r="A4" s="13" t="s">
        <x:v>37</x:v>
      </x:c>
      <x:c r="B4" s="13" t="s">
        <x:v>38</x:v>
      </x:c>
      <x:c r="C4" s="13" t="s">
        <x:v>39</x:v>
      </x:c>
      <x:c r="D4" s="13" t="s">
        <x:v>43</x:v>
      </x:c>
      <x:c r="E4" s="13" t="s">
        <x:v>44</x:v>
      </x:c>
      <x:c r="F4" s="13" t="s">
        <x:v>120</x:v>
      </x:c>
      <x:c r="G4" s="13" t="s">
        <x:v>121</x:v>
      </x:c>
      <x:c r="H4" s="13" t="s">
        <x:v>122</x:v>
      </x:c>
      <x:c r="I4" s="13" t="s">
        <x:v>123</x:v>
      </x:c>
      <x:c r="J4" s="13" t="s">
        <x:v>124</x:v>
      </x:c>
      <x:c r="K4" s="13" t="s">
        <x:v>46</x:v>
      </x:c>
    </x:row>
    <x:row r="5" spans="1:11">
      <x:c r="A5" s="0" t="s">
        <x:v>47</x:v>
      </x:c>
      <x:c r="B5" s="0" t="s">
        <x:v>48</x:v>
      </x:c>
      <x:c r="C5" s="0" t="s">
        <x:v>49</x:v>
      </x:c>
      <x:c r="D5" s="15">
        <x:v>75</x:v>
      </x:c>
      <x:c r="E5" s="0" t="s">
        <x:v>52</x:v>
      </x:c>
      <x:c r="F5" s="14">
        <x:v>0.3</x:v>
      </x:c>
      <x:c r="G5" s="14">
        <x:v>1</x:v>
      </x:c>
      <x:c r="H5" s="16">
        <x:f>[@[NonProd Qty]]*[@[Unit Price]]</x:f>
      </x:c>
      <x:c r="I5" s="16">
        <x:f>[@[Prod Qty]]*[@[Unit Price]]</x:f>
      </x:c>
      <x:c r="J5" s="16">
        <x:f>[@[NonProd Cost]]+[@[Prod Cost]]</x:f>
      </x:c>
      <x:c r="K5" s="17" t="s">
        <x:v>53</x:v>
      </x:c>
    </x:row>
    <x:row r="6" spans="1:11">
      <x:c r="A6" s="0" t="s">
        <x:v>47</x:v>
      </x:c>
      <x:c r="B6" s="0" t="s">
        <x:v>54</x:v>
      </x:c>
      <x:c r="C6" s="0" t="s">
        <x:v>55</x:v>
      </x:c>
      <x:c r="D6" s="19">
        <x:v>0.005</x:v>
      </x:c>
      <x:c r="E6" s="0" t="s">
        <x:v>58</x:v>
      </x:c>
      <x:c r="F6" s="18">
        <x:v>240000</x:v>
      </x:c>
      <x:c r="G6" s="18">
        <x:v>800000</x:v>
      </x:c>
      <x:c r="H6" s="16">
        <x:f>[@[NonProd Qty]]*[@[Unit Price]]</x:f>
      </x:c>
      <x:c r="I6" s="16">
        <x:f>[@[Prod Qty]]*[@[Unit Price]]</x:f>
      </x:c>
      <x:c r="J6" s="16">
        <x:f>[@[NonProd Cost]]+[@[Prod Cost]]</x:f>
      </x:c>
      <x:c r="K6" s="17" t="s">
        <x:v>59</x:v>
      </x:c>
    </x:row>
    <x:row r="7" spans="1:11">
      <x:c r="A7" s="0" t="s">
        <x:v>47</x:v>
      </x:c>
      <x:c r="B7" s="0" t="s">
        <x:v>54</x:v>
      </x:c>
      <x:c r="C7" s="0" t="s">
        <x:v>55</x:v>
      </x:c>
      <x:c r="D7" s="19">
        <x:v>0.015</x:v>
      </x:c>
      <x:c r="E7" s="0" t="s">
        <x:v>58</x:v>
      </x:c>
      <x:c r="F7" s="18">
        <x:v>72000</x:v>
      </x:c>
      <x:c r="G7" s="18">
        <x:v>240000</x:v>
      </x:c>
      <x:c r="H7" s="16">
        <x:f>[@[NonProd Qty]]*[@[Unit Price]]</x:f>
      </x:c>
      <x:c r="I7" s="16">
        <x:f>[@[Prod Qty]]*[@[Unit Price]]</x:f>
      </x:c>
      <x:c r="J7" s="16">
        <x:f>[@[NonProd Cost]]+[@[Prod Cost]]</x:f>
      </x:c>
      <x:c r="K7" s="17" t="s">
        <x:v>59</x:v>
      </x:c>
    </x:row>
    <x:row r="8" spans="1:11">
      <x:c r="A8" s="0" t="s">
        <x:v>62</x:v>
      </x:c>
      <x:c r="B8" s="0" t="s">
        <x:v>63</x:v>
      </x:c>
      <x:c r="C8" s="0" t="s">
        <x:v>64</x:v>
      </x:c>
      <x:c r="D8" s="19">
        <x:v>259.88</x:v>
      </x:c>
      <x:c r="E8" s="0" t="s">
        <x:v>67</x:v>
      </x:c>
      <x:c r="F8" s="18">
        <x:v>1.5</x:v>
      </x:c>
      <x:c r="G8" s="18">
        <x:v>3</x:v>
      </x:c>
      <x:c r="H8" s="16">
        <x:f>[@[NonProd Qty]]*[@[Unit Price]]</x:f>
      </x:c>
      <x:c r="I8" s="16">
        <x:f>[@[Prod Qty]]*[@[Unit Price]]</x:f>
      </x:c>
      <x:c r="J8" s="16">
        <x:f>[@[NonProd Cost]]+[@[Prod Cost]]</x:f>
      </x:c>
      <x:c r="K8" s="17" t="s">
        <x:v>68</x:v>
      </x:c>
    </x:row>
    <x:row r="9" spans="1:11">
      <x:c r="A9" s="0" t="s">
        <x:v>62</x:v>
      </x:c>
      <x:c r="B9" s="0" t="s">
        <x:v>69</x:v>
      </x:c>
      <x:c r="C9" s="0" t="s">
        <x:v>70</x:v>
      </x:c>
      <x:c r="D9" s="19">
        <x:v>0.2</x:v>
      </x:c>
      <x:c r="E9" s="0" t="s">
        <x:v>73</x:v>
      </x:c>
      <x:c r="F9" s="18">
        <x:v>5</x:v>
      </x:c>
      <x:c r="G9" s="18">
        <x:v>10</x:v>
      </x:c>
      <x:c r="H9" s="16">
        <x:f>[@[NonProd Qty]]*[@[Unit Price]]</x:f>
      </x:c>
      <x:c r="I9" s="16">
        <x:f>[@[Prod Qty]]*[@[Unit Price]]</x:f>
      </x:c>
      <x:c r="J9" s="16">
        <x:f>[@[NonProd Cost]]+[@[Prod Cost]]</x:f>
      </x:c>
      <x:c r="K9" s="17" t="s">
        <x:v>74</x:v>
      </x:c>
    </x:row>
    <x:row r="10" spans="1:11">
      <x:c r="A10" s="0" t="s">
        <x:v>75</x:v>
      </x:c>
      <x:c r="B10" s="0" t="s">
        <x:v>76</x:v>
      </x:c>
      <x:c r="C10" s="0" t="s">
        <x:v>77</x:v>
      </x:c>
      <x:c r="D10" s="19">
        <x:v>0.021</x:v>
      </x:c>
      <x:c r="E10" s="0" t="s">
        <x:v>80</x:v>
      </x:c>
      <x:c r="F10" s="18">
        <x:v>200</x:v>
      </x:c>
      <x:c r="G10" s="18">
        <x:v>500</x:v>
      </x:c>
      <x:c r="H10" s="16">
        <x:f>[@[NonProd Qty]]*[@[Unit Price]]</x:f>
      </x:c>
      <x:c r="I10" s="16">
        <x:f>[@[Prod Qty]]*[@[Unit Price]]</x:f>
      </x:c>
      <x:c r="J10" s="16">
        <x:f>[@[NonProd Cost]]+[@[Prod Cost]]</x:f>
      </x:c>
      <x:c r="K10" s="17" t="s">
        <x:v>81</x:v>
      </x:c>
    </x:row>
    <x:row r="11" spans="1:11">
      <x:c r="A11" s="0" t="s">
        <x:v>75</x:v>
      </x:c>
      <x:c r="B11" s="0" t="s">
        <x:v>82</x:v>
      </x:c>
      <x:c r="C11" s="0" t="s">
        <x:v>83</x:v>
      </x:c>
      <x:c r="D11" s="19">
        <x:v>130</x:v>
      </x:c>
      <x:c r="E11" s="0" t="s">
        <x:v>86</x:v>
      </x:c>
      <x:c r="F11" s="18">
        <x:v>0.8</x:v>
      </x:c>
      <x:c r="G11" s="18">
        <x:v>2</x:v>
      </x:c>
      <x:c r="H11" s="16">
        <x:f>[@[NonProd Qty]]*[@[Unit Price]]</x:f>
      </x:c>
      <x:c r="I11" s="16">
        <x:f>[@[Prod Qty]]*[@[Unit Price]]</x:f>
      </x:c>
      <x:c r="J11" s="16">
        <x:f>[@[NonProd Cost]]+[@[Prod Cost]]</x:f>
      </x:c>
      <x:c r="K11" s="17" t="s">
        <x:v>87</x:v>
      </x:c>
    </x:row>
    <x:row r="12" spans="1:11">
      <x:c r="A12" s="0" t="s">
        <x:v>88</x:v>
      </x:c>
      <x:c r="B12" s="0" t="s">
        <x:v>89</x:v>
      </x:c>
      <x:c r="C12" s="0" t="s">
        <x:v>90</x:v>
      </x:c>
      <x:c r="D12" s="19">
        <x:v>0.12</x:v>
      </x:c>
      <x:c r="E12" s="0" t="s">
        <x:v>93</x:v>
      </x:c>
      <x:c r="F12" s="18">
        <x:v>150</x:v>
      </x:c>
      <x:c r="G12" s="18">
        <x:v>500</x:v>
      </x:c>
      <x:c r="H12" s="16">
        <x:f>[@[NonProd Qty]]*[@[Unit Price]]</x:f>
      </x:c>
      <x:c r="I12" s="16">
        <x:f>[@[Prod Qty]]*[@[Unit Price]]</x:f>
      </x:c>
      <x:c r="J12" s="16">
        <x:f>[@[NonProd Cost]]+[@[Prod Cost]]</x:f>
      </x:c>
      <x:c r="K12" s="17" t="s">
        <x:v>94</x:v>
      </x:c>
    </x:row>
    <x:row r="13" spans="1:11">
      <x:c r="A13" s="0" t="s">
        <x:v>95</x:v>
      </x:c>
      <x:c r="B13" s="0" t="s">
        <x:v>96</x:v>
      </x:c>
      <x:c r="C13" s="0" t="s">
        <x:v>97</x:v>
      </x:c>
      <x:c r="D13" s="19">
        <x:v>2.76</x:v>
      </x:c>
      <x:c r="E13" s="0" t="s">
        <x:v>93</x:v>
      </x:c>
      <x:c r="F13" s="18">
        <x:v>20</x:v>
      </x:c>
      <x:c r="G13" s="18">
        <x:v>50</x:v>
      </x:c>
      <x:c r="H13" s="16">
        <x:f>[@[NonProd Qty]]*[@[Unit Price]]</x:f>
      </x:c>
      <x:c r="I13" s="16">
        <x:f>[@[Prod Qty]]*[@[Unit Price]]</x:f>
      </x:c>
      <x:c r="J13" s="16">
        <x:f>[@[NonProd Cost]]+[@[Prod Cost]]</x:f>
      </x:c>
      <x:c r="K13" s="17" t="s">
        <x:v>100</x:v>
      </x:c>
    </x:row>
    <x:row r="14" spans="1:11">
      <x:c r="A14" s="0" t="s">
        <x:v>101</x:v>
      </x:c>
      <x:c r="B14" s="0" t="s">
        <x:v>102</x:v>
      </x:c>
      <x:c r="C14" s="0" t="s">
        <x:v>90</x:v>
      </x:c>
      <x:c r="D14" s="21">
        <x:v>0.03</x:v>
      </x:c>
      <x:c r="E14" s="0" t="s">
        <x:v>105</x:v>
      </x:c>
      <x:c r="F14" s="20">
        <x:v>100</x:v>
      </x:c>
      <x:c r="G14" s="20">
        <x:v>200</x:v>
      </x:c>
      <x:c r="H14" s="16">
        <x:f>[@[NonProd Qty]]*[@[Unit Price]]</x:f>
      </x:c>
      <x:c r="I14" s="16">
        <x:f>[@[Prod Qty]]*[@[Unit Price]]</x:f>
      </x:c>
      <x:c r="J14" s="16">
        <x:f>[@[NonProd Cost]]+[@[Prod Cost]]</x:f>
      </x:c>
      <x:c r="K14" s="17" t="s">
        <x:v>106</x:v>
      </x:c>
    </x:row>
    <x:row r="15" spans="1:11">
      <x:c r="A15" s="4" t="s">
        <x:v>24</x:v>
      </x:c>
      <x:c r="H15" s="7">
        <x:f>SUBTOTAL(109,TotalCost[NonProd Cost])</x:f>
      </x:c>
      <x:c r="I15" s="7">
        <x:f>SUBTOTAL(109,TotalCost[Prod Cost])</x:f>
      </x:c>
      <x:c r="J15" s="7">
        <x:f>SUBTOTAL(109,TotalCost[Total Cost])</x:f>
      </x:c>
      <x:c r="K15" s="17"/>
    </x:row>
    <x:row r="17" spans="1:11">
      <x:c r="A17" s="4" t="s">
        <x:v>25</x:v>
      </x:c>
      <x:c r="B17" s="7">
        <x:f>TotalCost[[#Totals],[Total Cost]]*0.25</x:f>
      </x:c>
    </x:row>
    <x:row r="18" spans="1:11">
      <x:c r="A18" s="8" t="s">
        <x:v>125</x:v>
      </x:c>
      <x:c r="B18" s="9">
        <x:f>TotalCost[[#Totals],[Total Cost]]+B17</x:f>
      </x:c>
    </x:row>
    <x:row r="19" spans="1:11">
      <x:c r="A19" s="8" t="s">
        <x:v>126</x:v>
      </x:c>
      <x:c r="B19" s="9">
        <x:f>B18*12</x:f>
      </x:c>
    </x:row>
  </x:sheetData>
  <x:mergeCells count="1">
    <x:mergeCell ref="A1:J1"/>
  </x:mergeCells>
  <x:hyperlinks>
    <x:hyperlink ref="K5" r:id="rId46"/>
    <x:hyperlink ref="K6" r:id="rId47"/>
    <x:hyperlink ref="K7" r:id="rId48"/>
    <x:hyperlink ref="K8" r:id="rId49"/>
    <x:hyperlink ref="K9" r:id="rId50"/>
    <x:hyperlink ref="K10" r:id="rId51"/>
    <x:hyperlink ref="K11" r:id="rId52"/>
    <x:hyperlink ref="K12" r:id="rId53"/>
    <x:hyperlink ref="K13" r:id="rId54"/>
    <x:hyperlink ref="K14" r:id="rId55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5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424911" style="0" customWidth="1"/>
    <x:col min="2" max="2" width="12.853482" style="0" customWidth="1"/>
    <x:col min="3" max="3" width="7.567768" style="0" customWidth="1"/>
    <x:col min="4" max="4" width="70.710625" style="10" customWidth="1"/>
    <x:col min="5" max="5" width="65.996339" style="10" customWidth="1"/>
  </x:cols>
  <x:sheetData>
    <x:row r="1" spans="1:5">
      <x:c r="A1" s="13" t="s">
        <x:v>127</x:v>
      </x:c>
      <x:c r="B1" s="13" t="s">
        <x:v>37</x:v>
      </x:c>
      <x:c r="C1" s="13" t="s">
        <x:v>128</x:v>
      </x:c>
      <x:c r="D1" s="23" t="s">
        <x:v>129</x:v>
      </x:c>
      <x:c r="E1" s="23" t="s">
        <x:v>130</x:v>
      </x:c>
    </x:row>
    <x:row r="2" spans="1:5">
      <x:c r="A2" s="12" t="s">
        <x:v>131</x:v>
      </x:c>
      <x:c r="B2" s="12" t="s">
        <x:v>62</x:v>
      </x:c>
      <x:c r="C2" s="12" t="s">
        <x:v>132</x:v>
      </x:c>
      <x:c r="D2" s="24" t="s">
        <x:v>133</x:v>
      </x:c>
      <x:c r="E2" s="24" t="s">
        <x:v>134</x:v>
      </x:c>
    </x:row>
    <x:row r="3" spans="1:5">
      <x:c r="A3" s="0" t="s">
        <x:v>135</x:v>
      </x:c>
      <x:c r="B3" s="0" t="s">
        <x:v>62</x:v>
      </x:c>
      <x:c r="C3" s="0" t="s">
        <x:v>136</x:v>
      </x:c>
      <x:c r="D3" s="10" t="s">
        <x:v>137</x:v>
      </x:c>
      <x:c r="E3" s="10" t="s">
        <x:v>138</x:v>
      </x:c>
    </x:row>
    <x:row r="4" spans="1:5">
      <x:c r="A4" s="12" t="s">
        <x:v>139</x:v>
      </x:c>
      <x:c r="B4" s="12" t="s">
        <x:v>47</x:v>
      </x:c>
      <x:c r="C4" s="12" t="s">
        <x:v>132</x:v>
      </x:c>
      <x:c r="D4" s="24" t="s">
        <x:v>140</x:v>
      </x:c>
      <x:c r="E4" s="24" t="s">
        <x:v>141</x:v>
      </x:c>
    </x:row>
    <x:row r="5" spans="1:5">
      <x:c r="A5" s="0" t="s">
        <x:v>142</x:v>
      </x:c>
      <x:c r="B5" s="0" t="s">
        <x:v>47</x:v>
      </x:c>
      <x:c r="C5" s="0" t="s">
        <x:v>132</x:v>
      </x:c>
      <x:c r="D5" s="10" t="s">
        <x:v>143</x:v>
      </x:c>
      <x:c r="E5" s="10" t="s">
        <x:v>144</x:v>
      </x:c>
    </x:row>
    <x:row r="6" spans="1:5">
      <x:c r="A6" s="12" t="s">
        <x:v>145</x:v>
      </x:c>
      <x:c r="B6" s="12" t="s">
        <x:v>47</x:v>
      </x:c>
      <x:c r="C6" s="12" t="s">
        <x:v>136</x:v>
      </x:c>
      <x:c r="D6" s="24" t="s">
        <x:v>146</x:v>
      </x:c>
      <x:c r="E6" s="24" t="s">
        <x:v>147</x:v>
      </x:c>
    </x:row>
    <x:row r="7" spans="1:5">
      <x:c r="A7" s="0" t="s">
        <x:v>148</x:v>
      </x:c>
      <x:c r="B7" s="0" t="s">
        <x:v>75</x:v>
      </x:c>
      <x:c r="C7" s="0" t="s">
        <x:v>132</x:v>
      </x:c>
      <x:c r="D7" s="10" t="s">
        <x:v>149</x:v>
      </x:c>
      <x:c r="E7" s="10" t="s">
        <x:v>150</x:v>
      </x:c>
    </x:row>
    <x:row r="8" spans="1:5">
      <x:c r="A8" s="12" t="s">
        <x:v>151</x:v>
      </x:c>
      <x:c r="B8" s="12" t="s">
        <x:v>62</x:v>
      </x:c>
      <x:c r="C8" s="12" t="s">
        <x:v>152</x:v>
      </x:c>
      <x:c r="D8" s="24" t="s">
        <x:v>153</x:v>
      </x:c>
      <x:c r="E8" s="24" t="s">
        <x:v>154</x:v>
      </x:c>
    </x:row>
    <x:row r="9" spans="1:5">
      <x:c r="A9" s="0" t="s">
        <x:v>155</x:v>
      </x:c>
      <x:c r="B9" s="0" t="s">
        <x:v>75</x:v>
      </x:c>
      <x:c r="C9" s="0" t="s">
        <x:v>132</x:v>
      </x:c>
      <x:c r="D9" s="10" t="s">
        <x:v>156</x:v>
      </x:c>
      <x:c r="E9" s="10" t="s">
        <x:v>157</x:v>
      </x:c>
    </x:row>
    <x:row r="10" spans="1:5">
      <x:c r="A10" s="12" t="s">
        <x:v>158</x:v>
      </x:c>
      <x:c r="B10" s="12" t="s">
        <x:v>101</x:v>
      </x:c>
      <x:c r="C10" s="12" t="s">
        <x:v>132</x:v>
      </x:c>
      <x:c r="D10" s="24" t="s">
        <x:v>159</x:v>
      </x:c>
      <x:c r="E10" s="24" t="s">
        <x:v>160</x:v>
      </x:c>
    </x:row>
    <x:row r="11" spans="1:5">
      <x:c r="A11" s="0" t="s">
        <x:v>161</x:v>
      </x:c>
      <x:c r="B11" s="0" t="s">
        <x:v>88</x:v>
      </x:c>
      <x:c r="C11" s="0" t="s">
        <x:v>132</x:v>
      </x:c>
      <x:c r="D11" s="10" t="s">
        <x:v>162</x:v>
      </x:c>
      <x:c r="E11" s="10" t="s">
        <x:v>163</x:v>
      </x:c>
    </x:row>
    <x:row r="12" spans="1:5">
      <x:c r="A12" s="12" t="s">
        <x:v>164</x:v>
      </x:c>
      <x:c r="B12" s="12" t="s">
        <x:v>95</x:v>
      </x:c>
      <x:c r="C12" s="12" t="s">
        <x:v>136</x:v>
      </x:c>
      <x:c r="D12" s="24" t="s">
        <x:v>165</x:v>
      </x:c>
      <x:c r="E12" s="24" t="s">
        <x:v>166</x:v>
      </x:c>
    </x:row>
    <x:row r="13" spans="1:5">
      <x:c r="A13" s="0" t="s">
        <x:v>167</x:v>
      </x:c>
      <x:c r="B13" s="0" t="s">
        <x:v>101</x:v>
      </x:c>
      <x:c r="C13" s="0" t="s">
        <x:v>136</x:v>
      </x:c>
      <x:c r="D13" s="10" t="s">
        <x:v>168</x:v>
      </x:c>
      <x:c r="E13" s="10" t="s">
        <x:v>169</x:v>
      </x:c>
    </x:row>
  </x:sheetData>
  <x:autoFilter ref="A1:E1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"/>
  <x:sheetViews>
    <x:sheetView workbookViewId="0"/>
  </x:sheetViews>
  <x:sheetFormatPr defaultRowHeight="15"/>
  <x:cols>
    <x:col min="1" max="1" width="22.710625" style="0" customWidth="1"/>
    <x:col min="2" max="2" width="80.710625" style="0" customWidth="1"/>
  </x:cols>
  <x:sheetData>
    <x:row r="1" spans="1:2" ht="26" customHeight="1">
      <x:c r="A1" s="1" t="s">
        <x:v>170</x:v>
      </x:c>
      <x:c r="B1" s="2"/>
    </x:row>
    <x:row r="3" spans="1:2">
      <x:c r="A3" s="4" t="s">
        <x:v>2</x:v>
      </x:c>
      <x:c r="B3" s="10" t="s">
        <x:v>3</x:v>
      </x:c>
    </x:row>
    <x:row r="4" spans="1:2">
      <x:c r="A4" s="4" t="s">
        <x:v>171</x:v>
      </x:c>
      <x:c r="B4" s="10" t="s">
        <x:v>172</x:v>
      </x:c>
    </x:row>
    <x:row r="5" spans="1:2">
      <x:c r="A5" s="4" t="s">
        <x:v>173</x:v>
      </x:c>
      <x:c r="B5" s="10" t="s">
        <x:v>174</x:v>
      </x:c>
    </x:row>
    <x:row r="6" spans="1:2">
      <x:c r="A6" s="4" t="s">
        <x:v>8</x:v>
      </x:c>
      <x:c r="B6" s="10" t="s">
        <x:v>9</x:v>
      </x:c>
    </x:row>
    <x:row r="7" spans="1:2">
      <x:c r="A7" s="4" t="s">
        <x:v>10</x:v>
      </x:c>
      <x:c r="B7" s="10" t="s">
        <x:v>11</x:v>
      </x:c>
    </x:row>
    <x:row r="8" spans="1:2">
      <x:c r="A8" s="4" t="s">
        <x:v>12</x:v>
      </x:c>
      <x:c r="B8" s="10" t="s">
        <x:v>13</x:v>
      </x:c>
    </x:row>
    <x:row r="9" spans="1:2">
      <x:c r="A9" s="4" t="s">
        <x:v>14</x:v>
      </x:c>
      <x:c r="B9" s="10" t="s">
        <x:v>15</x:v>
      </x:c>
    </x:row>
    <x:row r="11" spans="1:2">
      <x:c r="A11" s="4" t="s">
        <x:v>175</x:v>
      </x:c>
      <x:c r="B11" s="0" t="s">
        <x:v>176</x:v>
      </x:c>
    </x:row>
    <x:row r="12" spans="1:2">
      <x:c r="B12" s="0" t="s">
        <x:v>177</x:v>
      </x:c>
    </x:row>
    <x:row r="13" spans="1:2">
      <x:c r="B13" s="0" t="s">
        <x:v>178</x:v>
      </x:c>
    </x:row>
    <x:row r="14" spans="1:2">
      <x:c r="B14" s="0" t="s">
        <x:v>179</x:v>
      </x:c>
    </x:row>
    <x:row r="15" spans="1:2">
      <x:c r="B15" s="0" t="s">
        <x:v>180</x:v>
      </x:c>
    </x:row>
    <x:row r="16" spans="1:2">
      <x:c r="B16" s="0" t="s">
        <x:v>181</x:v>
      </x:c>
    </x:row>
    <x:row r="17" spans="1:2">
      <x:c r="B17" s="0" t="s">
        <x:v>182</x:v>
      </x:c>
    </x:row>
    <x:row r="18" spans="1:2">
      <x:c r="B18" s="0" t="s">
        <x:v>183</x:v>
      </x:c>
    </x:row>
    <x:row r="19" spans="1:2">
      <x:c r="B19" s="0" t="s">
        <x:v>184</x:v>
      </x:c>
    </x:row>
    <x:row r="21" spans="1:2">
      <x:c r="A21" s="4" t="s">
        <x:v>185</x:v>
      </x:c>
      <x:c r="B21" s="0" t="s">
        <x:v>186</x:v>
      </x:c>
    </x:row>
    <x:row r="22" spans="1:2">
      <x:c r="B22" s="0" t="s">
        <x:v>187</x:v>
      </x:c>
    </x:row>
    <x:row r="23" spans="1:2">
      <x:c r="B23" s="0" t="s">
        <x:v>188</x:v>
      </x:c>
    </x:row>
    <x:row r="25" spans="1:2">
      <x:c r="A25" s="4" t="s">
        <x:v>189</x:v>
      </x:c>
      <x:c r="B25" s="0" t="s">
        <x:v>190</x:v>
      </x:c>
    </x:row>
    <x:row r="26" spans="1:2">
      <x:c r="B26" s="0" t="s">
        <x:v>191</x:v>
      </x:c>
    </x:row>
    <x:row r="27" spans="1:2">
      <x:c r="B27" s="0" t="s">
        <x:v>192</x:v>
      </x:c>
    </x:row>
    <x:row r="28" spans="1:2">
      <x:c r="B28" s="0" t="s">
        <x:v>193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3.853482" style="0" customWidth="1"/>
    <x:col min="2" max="2" width="14.996339" style="0" customWidth="1"/>
    <x:col min="3" max="3" width="10.853482" style="0" customWidth="1"/>
    <x:col min="4" max="4" width="6.710625" style="0" customWidth="1"/>
    <x:col min="5" max="5" width="10.424911" style="0" customWidth="1"/>
    <x:col min="6" max="6" width="80.710625" style="10" customWidth="1"/>
  </x:cols>
  <x:sheetData>
    <x:row r="1" spans="1:6">
      <x:c r="A1" s="13" t="s">
        <x:v>194</x:v>
      </x:c>
      <x:c r="B1" s="13" t="s">
        <x:v>195</x:v>
      </x:c>
      <x:c r="C1" s="13" t="s">
        <x:v>196</x:v>
      </x:c>
      <x:c r="D1" s="13" t="s">
        <x:v>197</x:v>
      </x:c>
      <x:c r="E1" s="13" t="s">
        <x:v>198</x:v>
      </x:c>
      <x:c r="F1" s="23" t="s">
        <x:v>199</x:v>
      </x:c>
    </x:row>
    <x:row r="2" spans="1:6">
      <x:c r="A2" s="0" t="s">
        <x:v>200</x:v>
      </x:c>
      <x:c r="B2" s="0" t="s">
        <x:v>201</x:v>
      </x:c>
      <x:c r="C2" s="0">
        <x:v>2503</x:v>
      </x:c>
      <x:c r="D2" s="0">
        <x:v>355</x:v>
      </x:c>
      <x:c r="E2" s="0">
        <x:v>2503</x:v>
      </x:c>
      <x:c r="F2" s="10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1">
      <vt:lpstr>Summary</vt:lpstr>
      <vt:lpstr>Cost Model</vt:lpstr>
      <vt:lpstr>Non-Prod</vt:lpstr>
      <vt:lpstr>Prod</vt:lpstr>
      <vt:lpstr>Total</vt:lpstr>
      <vt:lpstr>Requirements</vt:lpstr>
      <vt:lpstr>Scope</vt:lpstr>
      <vt:lpstr>Documents</vt:lpstr>
      <vt:lpstr>Summary!Print_Area</vt:lpstr>
      <vt:lpstr>Summary!Print_Titles</vt:lpstr>
      <vt:lpstr>Cost Model!Print_Area</vt:lpstr>
      <vt:lpstr>Cost Model!Print_Titles</vt:lpstr>
      <vt:lpstr>Non-Prod!Print_Area</vt:lpstr>
      <vt:lpstr>Non-Prod!Print_Titles</vt:lpstr>
      <vt:lpstr>Prod!Print_Area</vt:lpstr>
      <vt:lpstr>Prod!Print_Titles</vt:lpstr>
      <vt:lpstr>Total!Print_Area</vt:lpstr>
      <vt:lpstr>Total!Print_Titles</vt:lpstr>
      <vt:lpstr>Requirements!Print_Area</vt:lpstr>
      <vt:lpstr>Requirements!Print_Titles</vt:lpstr>
      <vt:lpstr>Scope!Print_Area</vt:lpstr>
      <vt:lpstr>Scope!Print_Titles</vt:lpstr>
      <vt:lpstr>Documents!Print_Area</vt:lpstr>
      <vt:lpstr>Documents!Print_Titles</vt:lpstr>
      <vt:lpstr>Proj37_MonthlySubtotal</vt:lpstr>
      <vt:lpstr>Proj37_Contingency</vt:lpstr>
      <vt:lpstr>Proj37_MonthlyTotal</vt:lpstr>
      <vt:lpstr>Proj37_AnnualTotal</vt:lpstr>
      <vt:lpstr>Proj37_NonProdMonthly</vt:lpstr>
      <vt:lpstr>Proj37_ProdMonthly</vt:lpstr>
      <vt:lpstr>Proj37_TotalMonthly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23</vt:i4>
      </vt:variant>
    </vt:vector>
  </ap:HeadingPairs>
  <ap:DocSecurity>0</ap:DocSecurity>
  <ap:ScaleCrop>false</ap:ScaleCrop>
</ap:Properties>
</file>